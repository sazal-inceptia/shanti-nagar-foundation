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f79c65c519013e/Desktop/"/>
    </mc:Choice>
  </mc:AlternateContent>
  <xr:revisionPtr revIDLastSave="2" documentId="14_{4DE7C282-A618-4C43-9CBB-7C4001A5D5AD}" xr6:coauthVersionLast="47" xr6:coauthVersionMax="47" xr10:uidLastSave="{145385FE-A906-4764-991B-7179A0CF8642}"/>
  <bookViews>
    <workbookView xWindow="-108" yWindow="-108" windowWidth="23256" windowHeight="12456" xr2:uid="{76E8F456-5EA5-4C1C-BBCC-9F72AAE39B5D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2" l="1"/>
  <c r="F19" i="2"/>
  <c r="F26" i="2"/>
  <c r="E29" i="2" s="1"/>
  <c r="G26" i="2"/>
  <c r="E26" i="2"/>
</calcChain>
</file>

<file path=xl/sharedStrings.xml><?xml version="1.0" encoding="utf-8"?>
<sst xmlns="http://schemas.openxmlformats.org/spreadsheetml/2006/main" count="53" uniqueCount="47">
  <si>
    <t>OCV Program – Contribution List | 31 July 2026</t>
  </si>
  <si>
    <t>Sponsors :</t>
  </si>
  <si>
    <t>Md. Mizanur Rahman</t>
  </si>
  <si>
    <t>Name</t>
  </si>
  <si>
    <t>Md. Abdullah</t>
  </si>
  <si>
    <t>-</t>
  </si>
  <si>
    <t>Shah Arifur Rahman</t>
  </si>
  <si>
    <t>Rotary Club of Shantinagar Dhaka</t>
  </si>
  <si>
    <t>Club ID No: 82407, Since 21 May 2009</t>
  </si>
  <si>
    <t>SL</t>
  </si>
  <si>
    <t>Position</t>
  </si>
  <si>
    <t>Contact No</t>
  </si>
  <si>
    <t>President</t>
  </si>
  <si>
    <t>Md. Shamim Rahman PHF</t>
  </si>
  <si>
    <t>Secretary</t>
  </si>
  <si>
    <t>Md Shariful Islam Shovo</t>
  </si>
  <si>
    <t>Treasurer</t>
  </si>
  <si>
    <t>Md Mominul Islam PHF</t>
  </si>
  <si>
    <t>IPP</t>
  </si>
  <si>
    <t>Ujjal Kanti Dey PHF</t>
  </si>
  <si>
    <t xml:space="preserve">President, Elect </t>
  </si>
  <si>
    <t>Fahima Nazneen Rahman PHF RFSM</t>
  </si>
  <si>
    <t xml:space="preserve">Vice President </t>
  </si>
  <si>
    <t>Nabegah Dordana  PHF</t>
  </si>
  <si>
    <t>Director (Service Project)</t>
  </si>
  <si>
    <t>Md. Abdul Halim Chowdhury MPHF</t>
  </si>
  <si>
    <t>Club Facilitator</t>
  </si>
  <si>
    <t>Md. Nasir Uddin  Pramanik RFSM</t>
  </si>
  <si>
    <t>Director (Membership)</t>
  </si>
  <si>
    <t>Mohammad Kamrul Hasan, MPHF</t>
  </si>
  <si>
    <t>Director (Admin.)</t>
  </si>
  <si>
    <t>Sinthia Shahariar, PHF</t>
  </si>
  <si>
    <t>Director (Publice Image)</t>
  </si>
  <si>
    <t>Md. Abdur Rahim</t>
  </si>
  <si>
    <t>Director (Youth Service)</t>
  </si>
  <si>
    <t>Md. Mofidul Islam Talukder</t>
  </si>
  <si>
    <t>Assistant Treasurer</t>
  </si>
  <si>
    <t>Md. Moniruzzaman, Babu</t>
  </si>
  <si>
    <t>Dr. Dilruba Raquib</t>
  </si>
  <si>
    <t xml:space="preserve">Member </t>
  </si>
  <si>
    <t>Member</t>
  </si>
  <si>
    <t>Mohammad Saiful Islam</t>
  </si>
  <si>
    <t>Md. Zakir Hossain</t>
  </si>
  <si>
    <t>TOTAL AMOUNT :</t>
  </si>
  <si>
    <t>Mrs. Shariful I. Shovo</t>
  </si>
  <si>
    <t>Contribu tion</t>
  </si>
  <si>
    <t>Sponsors : 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</si>
</sst>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_-;\-* #,##0_-;_-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New"/>
    </font>
    <font>
      <b/>
      <sz val="14"/>
      <color rgb="FF7449DF"/>
      <name val="Calibri Light"/>
      <family val="1"/>
      <scheme val="major"/>
    </font>
    <font>
      <b/>
      <sz val="16"/>
      <color rgb="FF0070C0"/>
      <name val="Calibri Light"/>
      <family val="1"/>
      <scheme val="major"/>
    </font>
    <font>
      <b/>
      <u/>
      <sz val="16"/>
      <color rgb="FF7030A0"/>
      <name val="Calibri Light"/>
      <family val="1"/>
      <scheme val="major"/>
    </font>
    <font>
      <b/>
      <sz val="16"/>
      <color rgb="FF7030A0"/>
      <name val="Calibri"/>
      <family val="2"/>
      <scheme val="minor"/>
    </font>
    <font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9" tint="-0.249977111117893"/>
      <name val="New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D54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Fill="1"/>
    <xf numFmtId="167" fontId="2" fillId="0" borderId="0" xfId="1" applyNumberFormat="1" applyFont="1"/>
    <xf numFmtId="167" fontId="0" fillId="0" borderId="0" xfId="0" applyNumberFormat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3" borderId="1" xfId="0" applyFont="1" applyFill="1" applyBorder="1" applyAlignment="1">
      <alignment horizontal="left"/>
    </xf>
    <xf numFmtId="0" fontId="7" fillId="0" borderId="2" xfId="0" applyFont="1" applyBorder="1"/>
    <xf numFmtId="0" fontId="7" fillId="2" borderId="2" xfId="0" applyFont="1" applyFill="1" applyBorder="1"/>
    <xf numFmtId="0" fontId="7" fillId="0" borderId="2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wrapText="1"/>
    </xf>
    <xf numFmtId="0" fontId="7" fillId="0" borderId="3" xfId="0" applyFont="1" applyBorder="1"/>
    <xf numFmtId="0" fontId="10" fillId="0" borderId="2" xfId="0" applyFont="1" applyBorder="1"/>
    <xf numFmtId="0" fontId="11" fillId="2" borderId="1" xfId="0" applyFont="1" applyFill="1" applyBorder="1"/>
    <xf numFmtId="0" fontId="12" fillId="2" borderId="4" xfId="0" applyFont="1" applyFill="1" applyBorder="1"/>
    <xf numFmtId="0" fontId="11" fillId="2" borderId="4" xfId="0" applyFont="1" applyFill="1" applyBorder="1"/>
    <xf numFmtId="0" fontId="8" fillId="0" borderId="2" xfId="0" applyFont="1" applyFill="1" applyBorder="1"/>
    <xf numFmtId="0" fontId="6" fillId="3" borderId="2" xfId="0" applyFont="1" applyFill="1" applyBorder="1" applyAlignment="1">
      <alignment horizontal="left"/>
    </xf>
    <xf numFmtId="0" fontId="13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167" fontId="9" fillId="0" borderId="2" xfId="1" applyNumberFormat="1" applyFont="1" applyFill="1" applyBorder="1"/>
    <xf numFmtId="0" fontId="8" fillId="0" borderId="2" xfId="0" applyFont="1" applyFill="1" applyBorder="1" applyAlignment="1">
      <alignment horizontal="center"/>
    </xf>
    <xf numFmtId="167" fontId="14" fillId="2" borderId="2" xfId="1" applyNumberFormat="1" applyFont="1" applyFill="1" applyBorder="1"/>
    <xf numFmtId="167" fontId="15" fillId="2" borderId="2" xfId="1" applyNumberFormat="1" applyFont="1" applyFill="1" applyBorder="1"/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3</xdr:row>
      <xdr:rowOff>85356</xdr:rowOff>
    </xdr:to>
    <xdr:pic>
      <xdr:nvPicPr>
        <xdr:cNvPr id="2" name="Picture 1" descr="C:\Users\Tapan\Downloads\Compressed\EN\color\T1314EN.gif">
          <a:extLst>
            <a:ext uri="{FF2B5EF4-FFF2-40B4-BE49-F238E27FC236}">
              <a16:creationId xmlns:a16="http://schemas.microsoft.com/office/drawing/2014/main" id="{B2E5B099-D62A-45FF-8A9A-2F2322F73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0660" y="0"/>
          <a:ext cx="0" cy="626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3</xdr:row>
      <xdr:rowOff>59110</xdr:rowOff>
    </xdr:to>
    <xdr:pic>
      <xdr:nvPicPr>
        <xdr:cNvPr id="3" name="Picture 1" descr="C:\Users\Tapan\Downloads\Compressed\EN\color\T1314EN.gif">
          <a:extLst>
            <a:ext uri="{FF2B5EF4-FFF2-40B4-BE49-F238E27FC236}">
              <a16:creationId xmlns:a16="http://schemas.microsoft.com/office/drawing/2014/main" id="{B4392AA2-6A12-4D8A-8D65-A5C6D6C9D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0660" y="0"/>
          <a:ext cx="0" cy="6001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502920</xdr:colOff>
      <xdr:row>0</xdr:row>
      <xdr:rowOff>87676</xdr:rowOff>
    </xdr:from>
    <xdr:to>
      <xdr:col>1</xdr:col>
      <xdr:colOff>1264920</xdr:colOff>
      <xdr:row>3</xdr:row>
      <xdr:rowOff>163471</xdr:rowOff>
    </xdr:to>
    <xdr:pic>
      <xdr:nvPicPr>
        <xdr:cNvPr id="4" name="il_fi" descr="http://fullertonrotary.org/images/RotaryWheel.jpg">
          <a:extLst>
            <a:ext uri="{FF2B5EF4-FFF2-40B4-BE49-F238E27FC236}">
              <a16:creationId xmlns:a16="http://schemas.microsoft.com/office/drawing/2014/main" id="{9B5694FF-7FC5-4B90-A0C2-019A34C33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69620" y="87676"/>
          <a:ext cx="762000" cy="753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3</xdr:row>
      <xdr:rowOff>108216</xdr:rowOff>
    </xdr:to>
    <xdr:pic>
      <xdr:nvPicPr>
        <xdr:cNvPr id="5" name="Picture 1" descr="C:\Users\Tapan\Downloads\Compressed\EN\color\T1314EN.gif">
          <a:extLst>
            <a:ext uri="{FF2B5EF4-FFF2-40B4-BE49-F238E27FC236}">
              <a16:creationId xmlns:a16="http://schemas.microsoft.com/office/drawing/2014/main" id="{DB472104-5CDC-4503-8392-037F3D1D4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0660" y="0"/>
          <a:ext cx="0" cy="6492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8466</xdr:colOff>
      <xdr:row>2</xdr:row>
      <xdr:rowOff>118533</xdr:rowOff>
    </xdr:from>
    <xdr:to>
      <xdr:col>3</xdr:col>
      <xdr:colOff>8466</xdr:colOff>
      <xdr:row>4</xdr:row>
      <xdr:rowOff>512923</xdr:rowOff>
    </xdr:to>
    <xdr:pic>
      <xdr:nvPicPr>
        <xdr:cNvPr id="6" name="Picture 1" descr="C:\Users\Tapan\Downloads\Compressed\EN\color\T1314EN.gif">
          <a:extLst>
            <a:ext uri="{FF2B5EF4-FFF2-40B4-BE49-F238E27FC236}">
              <a16:creationId xmlns:a16="http://schemas.microsoft.com/office/drawing/2014/main" id="{C6435F51-098F-425A-A544-65A2A4443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9126" y="621453"/>
          <a:ext cx="0" cy="622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3</xdr:row>
      <xdr:rowOff>126439</xdr:rowOff>
    </xdr:to>
    <xdr:pic>
      <xdr:nvPicPr>
        <xdr:cNvPr id="7" name="Picture 6" descr="C:\Users\Tapan\Downloads\Compressed\EN\color\T1314EN.gif">
          <a:extLst>
            <a:ext uri="{FF2B5EF4-FFF2-40B4-BE49-F238E27FC236}">
              <a16:creationId xmlns:a16="http://schemas.microsoft.com/office/drawing/2014/main" id="{C8A20911-4034-4B7E-944C-C78A67683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0660" y="0"/>
          <a:ext cx="0" cy="6674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3</xdr:row>
      <xdr:rowOff>95959</xdr:rowOff>
    </xdr:to>
    <xdr:pic>
      <xdr:nvPicPr>
        <xdr:cNvPr id="8" name="Picture 1" descr="C:\Users\Tapan\Downloads\Compressed\EN\color\T1314EN.gif">
          <a:extLst>
            <a:ext uri="{FF2B5EF4-FFF2-40B4-BE49-F238E27FC236}">
              <a16:creationId xmlns:a16="http://schemas.microsoft.com/office/drawing/2014/main" id="{EAF98271-2882-468F-99CC-7006D6D37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0660" y="0"/>
          <a:ext cx="0" cy="6369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3</xdr:row>
      <xdr:rowOff>150011</xdr:rowOff>
    </xdr:to>
    <xdr:pic>
      <xdr:nvPicPr>
        <xdr:cNvPr id="9" name="Picture 1" descr="C:\Users\Tapan\Downloads\Compressed\EN\color\T1314EN.gif">
          <a:extLst>
            <a:ext uri="{FF2B5EF4-FFF2-40B4-BE49-F238E27FC236}">
              <a16:creationId xmlns:a16="http://schemas.microsoft.com/office/drawing/2014/main" id="{03ACD07B-178A-47B2-9BAB-8D7C699D5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0660" y="0"/>
          <a:ext cx="0" cy="6910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3</xdr:row>
      <xdr:rowOff>118819</xdr:rowOff>
    </xdr:to>
    <xdr:pic>
      <xdr:nvPicPr>
        <xdr:cNvPr id="10" name="Picture 1" descr="C:\Users\Tapan\Downloads\Compressed\EN\color\T1314EN.gif">
          <a:extLst>
            <a:ext uri="{FF2B5EF4-FFF2-40B4-BE49-F238E27FC236}">
              <a16:creationId xmlns:a16="http://schemas.microsoft.com/office/drawing/2014/main" id="{490D3881-7792-4E4B-AC6B-36EC8E05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0660" y="0"/>
          <a:ext cx="0" cy="6598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F9697-E65C-40C0-AAC8-52F2A7A92ACC}">
  <dimension ref="A1:J29"/>
  <sheetViews>
    <sheetView tabSelected="1" workbookViewId="0">
      <selection activeCell="M11" sqref="M11"/>
    </sheetView>
  </sheetViews>
  <sheetFormatPr defaultRowHeight="14.4"/>
  <cols>
    <col min="1" max="1" width="3.88671875" bestFit="1" customWidth="1"/>
    <col min="2" max="2" width="30.109375" customWidth="1"/>
    <col min="3" max="3" width="17.88671875" customWidth="1"/>
    <col min="4" max="4" width="15.109375" bestFit="1" customWidth="1"/>
    <col min="5" max="5" width="12" bestFit="1" customWidth="1"/>
    <col min="6" max="6" width="14.109375" bestFit="1" customWidth="1"/>
    <col min="7" max="7" width="14.21875" bestFit="1" customWidth="1"/>
    <col min="9" max="9" width="15.88671875" customWidth="1"/>
  </cols>
  <sheetData>
    <row r="1" spans="1:10" ht="18" customHeight="1">
      <c r="A1" s="29" t="s">
        <v>7</v>
      </c>
      <c r="B1" s="29"/>
      <c r="C1" s="29"/>
      <c r="D1" s="29"/>
      <c r="E1" s="29"/>
      <c r="F1" s="29"/>
      <c r="G1" s="29"/>
    </row>
    <row r="2" spans="1:10" ht="18" customHeight="1">
      <c r="A2" s="29" t="s">
        <v>8</v>
      </c>
      <c r="B2" s="29"/>
      <c r="C2" s="29"/>
      <c r="D2" s="29"/>
      <c r="E2" s="29"/>
      <c r="F2" s="29"/>
      <c r="G2" s="29"/>
    </row>
    <row r="3" spans="1:10" ht="17.399999999999999">
      <c r="A3" s="21" t="s">
        <v>0</v>
      </c>
      <c r="B3" s="21"/>
      <c r="C3" s="21"/>
      <c r="D3" s="21"/>
      <c r="E3" s="21"/>
      <c r="F3" s="21"/>
      <c r="G3" s="21"/>
    </row>
    <row r="4" spans="1:10" ht="21" customHeight="1">
      <c r="A4" s="5"/>
      <c r="B4" s="5"/>
      <c r="C4" s="6"/>
      <c r="D4" s="5"/>
      <c r="E4" s="7"/>
      <c r="F4" s="7"/>
    </row>
    <row r="5" spans="1:10" ht="42">
      <c r="A5" s="8" t="s">
        <v>9</v>
      </c>
      <c r="B5" s="8" t="s">
        <v>3</v>
      </c>
      <c r="C5" s="8" t="s">
        <v>10</v>
      </c>
      <c r="D5" s="8" t="s">
        <v>11</v>
      </c>
      <c r="E5" s="22" t="s">
        <v>45</v>
      </c>
      <c r="F5" s="20" t="s">
        <v>1</v>
      </c>
      <c r="G5" s="24" t="s">
        <v>46</v>
      </c>
      <c r="H5" s="23"/>
    </row>
    <row r="6" spans="1:10" ht="18" customHeight="1">
      <c r="A6" s="9">
        <v>1</v>
      </c>
      <c r="B6" s="9" t="s">
        <v>6</v>
      </c>
      <c r="C6" s="9" t="s">
        <v>12</v>
      </c>
      <c r="D6" s="9">
        <v>1711568209</v>
      </c>
      <c r="E6" s="19">
        <v>3000</v>
      </c>
      <c r="F6" s="25">
        <v>40000</v>
      </c>
      <c r="G6" s="25"/>
      <c r="I6" s="1"/>
      <c r="J6" s="3"/>
    </row>
    <row r="7" spans="1:10" ht="18" customHeight="1">
      <c r="A7" s="10">
        <v>2</v>
      </c>
      <c r="B7" s="9" t="s">
        <v>13</v>
      </c>
      <c r="C7" s="9" t="s">
        <v>14</v>
      </c>
      <c r="D7" s="9">
        <v>1674888898</v>
      </c>
      <c r="E7" s="19">
        <v>3000</v>
      </c>
      <c r="F7" s="25"/>
      <c r="G7" s="25">
        <v>30000</v>
      </c>
      <c r="I7" s="1"/>
      <c r="J7" s="3"/>
    </row>
    <row r="8" spans="1:10" ht="18" customHeight="1">
      <c r="A8" s="9">
        <v>3</v>
      </c>
      <c r="B8" s="9" t="s">
        <v>15</v>
      </c>
      <c r="C8" s="9" t="s">
        <v>16</v>
      </c>
      <c r="D8" s="9">
        <v>1767720716</v>
      </c>
      <c r="E8" s="19">
        <v>3000</v>
      </c>
      <c r="F8" s="25"/>
      <c r="G8" s="25">
        <v>10000</v>
      </c>
      <c r="I8" s="1"/>
      <c r="J8" s="3"/>
    </row>
    <row r="9" spans="1:10" ht="18" customHeight="1">
      <c r="A9" s="10">
        <v>4</v>
      </c>
      <c r="B9" s="9" t="s">
        <v>17</v>
      </c>
      <c r="C9" s="9" t="s">
        <v>18</v>
      </c>
      <c r="D9" s="9">
        <v>1711046889</v>
      </c>
      <c r="E9" s="19">
        <v>3000</v>
      </c>
      <c r="F9" s="25"/>
      <c r="G9" s="25"/>
      <c r="I9" s="1"/>
      <c r="J9" s="3"/>
    </row>
    <row r="10" spans="1:10" ht="18" customHeight="1">
      <c r="A10" s="9">
        <v>5</v>
      </c>
      <c r="B10" s="11" t="s">
        <v>21</v>
      </c>
      <c r="C10" s="9" t="s">
        <v>22</v>
      </c>
      <c r="D10" s="9">
        <v>1715004199</v>
      </c>
      <c r="E10" s="19">
        <v>3000</v>
      </c>
      <c r="F10" s="25"/>
      <c r="G10" s="25"/>
      <c r="I10" s="1"/>
      <c r="J10" s="3"/>
    </row>
    <row r="11" spans="1:10" ht="18" customHeight="1">
      <c r="A11" s="10">
        <v>6</v>
      </c>
      <c r="B11" s="9" t="s">
        <v>23</v>
      </c>
      <c r="C11" s="9" t="s">
        <v>24</v>
      </c>
      <c r="D11" s="9">
        <v>1819405000</v>
      </c>
      <c r="E11" s="19">
        <v>3000</v>
      </c>
      <c r="F11" s="25">
        <f>5000+2500</f>
        <v>7500</v>
      </c>
      <c r="G11" s="25"/>
      <c r="I11" s="1"/>
      <c r="J11" s="3"/>
    </row>
    <row r="12" spans="1:10" ht="18" customHeight="1">
      <c r="A12" s="9">
        <v>7</v>
      </c>
      <c r="B12" s="12" t="s">
        <v>25</v>
      </c>
      <c r="C12" s="9" t="s">
        <v>26</v>
      </c>
      <c r="D12" s="9">
        <v>1711612780</v>
      </c>
      <c r="E12" s="19">
        <v>3000</v>
      </c>
      <c r="F12" s="25"/>
      <c r="G12" s="25"/>
      <c r="I12" s="2"/>
      <c r="J12" s="3"/>
    </row>
    <row r="13" spans="1:10" ht="18" customHeight="1">
      <c r="A13" s="10">
        <v>8</v>
      </c>
      <c r="B13" s="12" t="s">
        <v>27</v>
      </c>
      <c r="C13" s="13" t="s">
        <v>28</v>
      </c>
      <c r="D13" s="9">
        <v>1915398213</v>
      </c>
      <c r="E13" s="26" t="s">
        <v>5</v>
      </c>
      <c r="F13" s="25">
        <v>5000</v>
      </c>
      <c r="G13" s="25"/>
      <c r="I13" s="1"/>
      <c r="J13" s="3"/>
    </row>
    <row r="14" spans="1:10" ht="18" customHeight="1">
      <c r="A14" s="9">
        <v>9</v>
      </c>
      <c r="B14" s="9" t="s">
        <v>31</v>
      </c>
      <c r="C14" s="13" t="s">
        <v>32</v>
      </c>
      <c r="D14" s="9">
        <v>1962400391</v>
      </c>
      <c r="E14" s="19">
        <v>3000</v>
      </c>
      <c r="F14" s="25"/>
      <c r="G14" s="25"/>
      <c r="I14" s="1"/>
      <c r="J14" s="3"/>
    </row>
    <row r="15" spans="1:10" ht="18" customHeight="1">
      <c r="A15" s="10">
        <v>10</v>
      </c>
      <c r="B15" s="9" t="s">
        <v>33</v>
      </c>
      <c r="C15" s="13" t="s">
        <v>34</v>
      </c>
      <c r="D15" s="9">
        <v>1718232918</v>
      </c>
      <c r="E15" s="19">
        <v>3000</v>
      </c>
      <c r="F15" s="25">
        <v>10000</v>
      </c>
      <c r="G15" s="25"/>
      <c r="I15" s="1"/>
      <c r="J15" s="3"/>
    </row>
    <row r="16" spans="1:10" ht="18" customHeight="1">
      <c r="A16" s="9">
        <v>11</v>
      </c>
      <c r="B16" s="9" t="s">
        <v>35</v>
      </c>
      <c r="C16" s="9" t="s">
        <v>36</v>
      </c>
      <c r="D16" s="9">
        <v>1711238178</v>
      </c>
      <c r="E16" s="19">
        <v>3000</v>
      </c>
      <c r="F16" s="25"/>
      <c r="G16" s="25"/>
      <c r="I16" s="1"/>
      <c r="J16" s="3"/>
    </row>
    <row r="17" spans="1:10" ht="18" customHeight="1">
      <c r="A17" s="10">
        <v>12</v>
      </c>
      <c r="B17" s="9" t="s">
        <v>37</v>
      </c>
      <c r="C17" s="9" t="s">
        <v>39</v>
      </c>
      <c r="D17" s="9">
        <v>1919465266</v>
      </c>
      <c r="E17" s="19">
        <v>3000</v>
      </c>
      <c r="F17" s="25">
        <v>5000</v>
      </c>
      <c r="G17" s="25"/>
      <c r="I17" s="1"/>
      <c r="J17" s="3"/>
    </row>
    <row r="18" spans="1:10" ht="18" customHeight="1">
      <c r="A18" s="9">
        <v>13</v>
      </c>
      <c r="B18" s="9" t="s">
        <v>38</v>
      </c>
      <c r="C18" s="9" t="s">
        <v>39</v>
      </c>
      <c r="D18" s="14">
        <v>1819225881</v>
      </c>
      <c r="E18" s="19">
        <v>3000</v>
      </c>
      <c r="F18" s="25"/>
      <c r="G18" s="25"/>
    </row>
    <row r="19" spans="1:10" ht="18" customHeight="1">
      <c r="A19" s="10">
        <v>14</v>
      </c>
      <c r="B19" s="11" t="s">
        <v>29</v>
      </c>
      <c r="C19" s="13" t="s">
        <v>30</v>
      </c>
      <c r="D19" s="9">
        <v>1711931663</v>
      </c>
      <c r="E19" s="19">
        <v>1000</v>
      </c>
      <c r="F19" s="25">
        <f>4000+5000+5000</f>
        <v>14000</v>
      </c>
      <c r="G19" s="25"/>
    </row>
    <row r="20" spans="1:10" ht="18" customHeight="1">
      <c r="A20" s="9">
        <v>15</v>
      </c>
      <c r="B20" s="9" t="s">
        <v>19</v>
      </c>
      <c r="C20" s="9" t="s">
        <v>20</v>
      </c>
      <c r="D20" s="9">
        <v>1711043170</v>
      </c>
      <c r="E20" s="19">
        <v>1000</v>
      </c>
      <c r="F20" s="25"/>
      <c r="G20" s="25"/>
    </row>
    <row r="21" spans="1:10" ht="18" customHeight="1">
      <c r="A21" s="10">
        <v>16</v>
      </c>
      <c r="B21" s="9" t="s">
        <v>41</v>
      </c>
      <c r="C21" s="9" t="s">
        <v>40</v>
      </c>
      <c r="D21" s="14">
        <v>1819858404</v>
      </c>
      <c r="E21" s="19">
        <v>1000</v>
      </c>
      <c r="F21" s="25"/>
      <c r="G21" s="25"/>
    </row>
    <row r="22" spans="1:10" ht="18" customHeight="1">
      <c r="A22" s="9">
        <v>17</v>
      </c>
      <c r="B22" s="13" t="s">
        <v>2</v>
      </c>
      <c r="C22" s="9" t="s">
        <v>39</v>
      </c>
      <c r="D22" s="9">
        <v>1718304613</v>
      </c>
      <c r="E22" s="19">
        <v>1000</v>
      </c>
      <c r="F22" s="25">
        <v>20000</v>
      </c>
      <c r="G22" s="25">
        <v>5000</v>
      </c>
    </row>
    <row r="23" spans="1:10" ht="18" customHeight="1">
      <c r="A23" s="10">
        <v>18</v>
      </c>
      <c r="B23" s="9" t="s">
        <v>42</v>
      </c>
      <c r="C23" s="15" t="s">
        <v>40</v>
      </c>
      <c r="D23" s="15">
        <v>1819306052</v>
      </c>
      <c r="E23" s="19">
        <v>1000</v>
      </c>
      <c r="F23" s="25"/>
      <c r="G23" s="25"/>
    </row>
    <row r="24" spans="1:10" ht="18" customHeight="1">
      <c r="A24" s="9">
        <v>19</v>
      </c>
      <c r="B24" s="9" t="s">
        <v>4</v>
      </c>
      <c r="C24" s="15" t="s">
        <v>40</v>
      </c>
      <c r="D24" s="15">
        <v>1712852915</v>
      </c>
      <c r="E24" s="19">
        <v>1000</v>
      </c>
      <c r="F24" s="25">
        <v>10000</v>
      </c>
      <c r="G24" s="25"/>
    </row>
    <row r="25" spans="1:10" ht="18" customHeight="1">
      <c r="A25" s="10">
        <v>20</v>
      </c>
      <c r="B25" s="9" t="s">
        <v>44</v>
      </c>
      <c r="C25" s="15" t="s">
        <v>40</v>
      </c>
      <c r="D25" s="15">
        <v>1965822445</v>
      </c>
      <c r="E25" s="19">
        <v>1000</v>
      </c>
      <c r="F25" s="25"/>
      <c r="G25" s="25"/>
    </row>
    <row r="26" spans="1:10" ht="21">
      <c r="A26" s="16"/>
      <c r="B26" s="17" t="s">
        <v>43</v>
      </c>
      <c r="C26" s="18"/>
      <c r="D26" s="18"/>
      <c r="E26" s="28">
        <f>SUM(E6:E25)</f>
        <v>43000</v>
      </c>
      <c r="F26" s="28">
        <f>SUM(F6:F25)</f>
        <v>111500</v>
      </c>
      <c r="G26" s="27">
        <f>SUM(G6:G25)</f>
        <v>45000</v>
      </c>
    </row>
    <row r="29" spans="1:10" ht="18">
      <c r="B29" s="17" t="s">
        <v>43</v>
      </c>
      <c r="E29" s="28">
        <f>E26+F26</f>
        <v>154500</v>
      </c>
      <c r="F29" s="4"/>
    </row>
  </sheetData>
  <mergeCells count="3">
    <mergeCell ref="A1:G1"/>
    <mergeCell ref="A2:G2"/>
    <mergeCell ref="A3:G3"/>
  </mergeCells>
  <pageMargins left="0.7" right="0.7" top="0.28000000000000003" bottom="0.19" header="0.13" footer="0.14000000000000001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Fahima Nazneen Rahman</dc:creator>
  <cp:lastModifiedBy>Fahima Nazneen Rahman</cp:lastModifiedBy>
  <cp:lastPrinted>2026-08-14T15:07:15Z</cp:lastPrinted>
  <dcterms:created xsi:type="dcterms:W3CDTF">2026-08-14T10:13:09Z</dcterms:created>
  <dcterms:modified xsi:type="dcterms:W3CDTF">2026-08-14T15:09:52Z</dcterms:modified>
</cp:coreProperties>
</file>