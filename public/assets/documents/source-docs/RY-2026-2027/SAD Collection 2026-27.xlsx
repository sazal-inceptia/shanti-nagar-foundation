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6D2DE874-6EF6-41AC-9037-129E99D33C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D Collaction" sheetId="4" r:id="rId1"/>
    <sheet name="SAD Collaction  DUE" sheetId="5" r:id="rId2"/>
  </sheets>
  <definedNames>
    <definedName name="_xlnm.Print_Area" localSheetId="0">'SAD Collaction'!$A$1:$E$40</definedName>
    <definedName name="_xlnm.Print_Area" localSheetId="1">'SAD Collaction  DUE'!$A$1:$E$12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4" l="1"/>
  <c r="D48" i="4"/>
  <c r="E13" i="5"/>
  <c r="F44" i="4"/>
  <c r="E49" i="4" l="1"/>
</calcChain>
</file>

<file path=xl/sharedStrings.xml><?xml version="1.0" encoding="utf-8"?>
<sst xmlns="http://schemas.openxmlformats.org/spreadsheetml/2006/main" count="118" uniqueCount="77">
  <si>
    <t>Zakiya Karim</t>
  </si>
  <si>
    <t>Md. Abdul Halim Chowdhury MPHF</t>
  </si>
  <si>
    <t>Md. Nasir Uddin  Pramanik RFSM</t>
  </si>
  <si>
    <t>Md. Rezaul Haque PHF</t>
  </si>
  <si>
    <t>Treasurer</t>
  </si>
  <si>
    <t>Fayeem Anjum Ibne Farid</t>
  </si>
  <si>
    <t>Member</t>
  </si>
  <si>
    <t xml:space="preserve">Member </t>
  </si>
  <si>
    <t>SL</t>
  </si>
  <si>
    <t>Name</t>
  </si>
  <si>
    <t>Position</t>
  </si>
  <si>
    <t>Contact No</t>
  </si>
  <si>
    <t>Bulletin Editor</t>
  </si>
  <si>
    <t>Rotary Club of Shantinagar Dhaka</t>
  </si>
  <si>
    <t>Club ID No: 82407, Since 21 May 2009</t>
  </si>
  <si>
    <t>Engr. Md Abul Kalam Azad</t>
  </si>
  <si>
    <t>Dr. Md. Rafiqul Islam</t>
  </si>
  <si>
    <t>K M Ali Hasan (Tuhin)</t>
  </si>
  <si>
    <t>Shah Arifur Rahman</t>
  </si>
  <si>
    <t>President</t>
  </si>
  <si>
    <t>ID No.</t>
  </si>
  <si>
    <t>Secretary</t>
  </si>
  <si>
    <t>Director (Service Project)</t>
  </si>
  <si>
    <t>Director (Youth Service)</t>
  </si>
  <si>
    <t>Sgt. At Arms</t>
  </si>
  <si>
    <t>Md. Mofidul Islam Talukder</t>
  </si>
  <si>
    <t>Mohammad Saiful Islam</t>
  </si>
  <si>
    <t>Rifat Anjum Ibne Farid</t>
  </si>
  <si>
    <t>Jannatul Firdows</t>
  </si>
  <si>
    <t>Md. Abdur Rahim</t>
  </si>
  <si>
    <t>Nuzhat Tasnim Rahman Raisa</t>
  </si>
  <si>
    <t>Mohammad Yousuf</t>
  </si>
  <si>
    <t xml:space="preserve">President, Elect </t>
  </si>
  <si>
    <t xml:space="preserve">Vice President </t>
  </si>
  <si>
    <t>Mohammad Kamrul Hasan, MPHF</t>
  </si>
  <si>
    <t>Md Shofiqul islam</t>
  </si>
  <si>
    <t>Assistant Treasurer</t>
  </si>
  <si>
    <t>Assistant Secretary</t>
  </si>
  <si>
    <t>IPP</t>
  </si>
  <si>
    <t>Past Presedent</t>
  </si>
  <si>
    <t>Md. Moniruzzaman, Babu</t>
  </si>
  <si>
    <t>Achintya Kumar Saha</t>
  </si>
  <si>
    <t>Farzana Akter</t>
  </si>
  <si>
    <t>Md. Zakaria Hossain</t>
  </si>
  <si>
    <t>Masudur Rahman</t>
  </si>
  <si>
    <t>Md. Mizanur Rahman</t>
  </si>
  <si>
    <t>Md Shariful Islam Shovo</t>
  </si>
  <si>
    <t>Md. Abdullah</t>
  </si>
  <si>
    <t>Aroshi Jahan Shathi</t>
  </si>
  <si>
    <t>Swapan Kumer Kundu</t>
  </si>
  <si>
    <t>President, Nominee</t>
  </si>
  <si>
    <t>Club Facilitator</t>
  </si>
  <si>
    <t>Director (Admin.)</t>
  </si>
  <si>
    <t>Director (Membership)</t>
  </si>
  <si>
    <t>Director (TRF)</t>
  </si>
  <si>
    <t>Director (Publice Image)</t>
  </si>
  <si>
    <t>Md. Zakir Hossain</t>
  </si>
  <si>
    <t>Dr. Dilruba Raquib</t>
  </si>
  <si>
    <t>Sinthia Shahariar, PHF</t>
  </si>
  <si>
    <t>Jul-Dec 26</t>
  </si>
  <si>
    <t>Abul Kalam Azad</t>
  </si>
  <si>
    <t>Md. Shamim Rahman PHF</t>
  </si>
  <si>
    <t>Md Mominul Islam PHF</t>
  </si>
  <si>
    <t>Ujjal Kanti Dey PHF</t>
  </si>
  <si>
    <t>Fahima Nazneen Rahman PHF RFSM</t>
  </si>
  <si>
    <t>Nabegah Dordana  PHF</t>
  </si>
  <si>
    <t>Jan-Jun 27</t>
  </si>
  <si>
    <t>Noman Ibne Nasir</t>
  </si>
  <si>
    <t>SAD Collection List ( Jul'2026 to Jun'2027 )</t>
  </si>
  <si>
    <t>TOTAL AMOUNT :</t>
  </si>
  <si>
    <t>SAD Collection List ( Jul'2026 to Jun'2027 )  DUE</t>
  </si>
  <si>
    <r>
      <t>Distick Dues Paid in 19</t>
    </r>
    <r>
      <rPr>
        <b/>
        <vertAlign val="superscript"/>
        <sz val="14"/>
        <color theme="1"/>
        <rFont val="Calibri"/>
        <family val="2"/>
        <scheme val="minor"/>
      </rPr>
      <t>th</t>
    </r>
    <r>
      <rPr>
        <b/>
        <sz val="14"/>
        <color theme="1"/>
        <rFont val="Calibri"/>
        <family val="2"/>
        <scheme val="minor"/>
      </rPr>
      <t xml:space="preserve"> July 2026</t>
    </r>
  </si>
  <si>
    <r>
      <t>RI Dues Payment done 19</t>
    </r>
    <r>
      <rPr>
        <b/>
        <vertAlign val="superscript"/>
        <sz val="14"/>
        <color theme="1"/>
        <rFont val="Calibri"/>
        <family val="2"/>
        <scheme val="minor"/>
      </rPr>
      <t>th</t>
    </r>
    <r>
      <rPr>
        <b/>
        <sz val="14"/>
        <color theme="1"/>
        <rFont val="Calibri"/>
        <family val="2"/>
        <scheme val="minor"/>
      </rPr>
      <t xml:space="preserve"> July 2026</t>
    </r>
  </si>
  <si>
    <t xml:space="preserve">Note: </t>
  </si>
  <si>
    <t>Balance amount on 20th July 2026</t>
  </si>
  <si>
    <t>Total Balance amount on 27th July 2026 (BANK)</t>
  </si>
  <si>
    <t>Including Rezaul Haque bhai  2000/- taka  [For OCV 1000 + Other project 1000]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</si>
</sst>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70C0"/>
      <name val="Cambria"/>
      <family val="1"/>
      <scheme val="major"/>
    </font>
    <font>
      <b/>
      <u/>
      <sz val="16"/>
      <color rgb="FF7030A0"/>
      <name val="Cambria"/>
      <family val="1"/>
      <scheme val="maj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7449DF"/>
      <name val="Cambria"/>
      <family val="1"/>
      <scheme val="major"/>
    </font>
    <font>
      <b/>
      <u/>
      <sz val="14"/>
      <color theme="6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vertAlign val="superscript"/>
      <sz val="14"/>
      <color theme="1"/>
      <name val="Calibri"/>
      <family val="2"/>
      <scheme val="minor"/>
    </font>
    <font>
      <b/>
      <sz val="14"/>
      <color rgb="FF005C2A"/>
      <name val="Calibri"/>
      <family val="2"/>
      <scheme val="minor"/>
    </font>
    <font>
      <b/>
      <sz val="16"/>
      <color rgb="FF28A86E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rgb="FF7030A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2" fillId="2" borderId="0" xfId="0" applyNumberFormat="1" applyFont="1" applyFill="1"/>
    <xf numFmtId="0" fontId="6" fillId="0" borderId="1" xfId="0" applyFont="1" applyBorder="1"/>
    <xf numFmtId="0" fontId="5" fillId="0" borderId="1" xfId="0" applyFont="1" applyBorder="1"/>
    <xf numFmtId="0" fontId="6" fillId="2" borderId="1" xfId="0" applyFont="1" applyFill="1" applyBorder="1"/>
    <xf numFmtId="0" fontId="6" fillId="0" borderId="1" xfId="0" applyFont="1" applyBorder="1" applyAlignment="1">
      <alignment wrapText="1"/>
    </xf>
    <xf numFmtId="0" fontId="6" fillId="0" borderId="2" xfId="0" applyFont="1" applyBorder="1"/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9" fillId="4" borderId="1" xfId="0" applyFont="1" applyFill="1" applyBorder="1"/>
    <xf numFmtId="0" fontId="9" fillId="2" borderId="1" xfId="0" applyFont="1" applyFill="1" applyBorder="1"/>
    <xf numFmtId="0" fontId="2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/>
    <xf numFmtId="0" fontId="10" fillId="4" borderId="1" xfId="0" applyFont="1" applyFill="1" applyBorder="1"/>
    <xf numFmtId="0" fontId="2" fillId="2" borderId="3" xfId="0" applyFont="1" applyFill="1" applyBorder="1"/>
    <xf numFmtId="0" fontId="12" fillId="2" borderId="4" xfId="0" applyFont="1" applyFill="1" applyBorder="1"/>
    <xf numFmtId="0" fontId="2" fillId="2" borderId="4" xfId="0" applyFont="1" applyFill="1" applyBorder="1"/>
    <xf numFmtId="165" fontId="12" fillId="2" borderId="4" xfId="1" applyNumberFormat="1" applyFont="1" applyFill="1" applyBorder="1"/>
    <xf numFmtId="0" fontId="13" fillId="0" borderId="0" xfId="0" applyFont="1"/>
    <xf numFmtId="0" fontId="14" fillId="0" borderId="0" xfId="0" applyFont="1"/>
    <xf numFmtId="0" fontId="12" fillId="0" borderId="0" xfId="0" applyFont="1"/>
    <xf numFmtId="0" fontId="5" fillId="0" borderId="0" xfId="0" applyFont="1"/>
    <xf numFmtId="40" fontId="12" fillId="0" borderId="0" xfId="1" applyNumberFormat="1" applyFont="1"/>
    <xf numFmtId="164" fontId="12" fillId="0" borderId="0" xfId="0" applyNumberFormat="1" applyFont="1"/>
    <xf numFmtId="165" fontId="16" fillId="0" borderId="6" xfId="1" applyNumberFormat="1" applyFont="1" applyBorder="1"/>
    <xf numFmtId="40" fontId="12" fillId="0" borderId="7" xfId="0" applyNumberFormat="1" applyFont="1" applyBorder="1"/>
    <xf numFmtId="165" fontId="0" fillId="2" borderId="0" xfId="0" applyNumberFormat="1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12" fillId="0" borderId="3" xfId="0" applyFont="1" applyBorder="1"/>
    <xf numFmtId="0" fontId="0" fillId="0" borderId="4" xfId="0" applyBorder="1"/>
    <xf numFmtId="0" fontId="0" fillId="0" borderId="3" xfId="0" applyBorder="1"/>
    <xf numFmtId="43" fontId="17" fillId="2" borderId="8" xfId="1" applyFont="1" applyFill="1" applyBorder="1"/>
    <xf numFmtId="0" fontId="18" fillId="0" borderId="0" xfId="0" applyFont="1"/>
    <xf numFmtId="43" fontId="17" fillId="0" borderId="5" xfId="0" applyNumberFormat="1" applyFont="1" applyBorder="1"/>
    <xf numFmtId="0" fontId="20" fillId="3" borderId="1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left"/>
    </xf>
    <xf numFmtId="0" fontId="21" fillId="0" borderId="0" xfId="0" applyFont="1"/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28A86E"/>
      <color rgb="FF3A6A45"/>
      <color rgb="FF44BD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2</xdr:row>
      <xdr:rowOff>123456</xdr:rowOff>
    </xdr:to>
    <xdr:pic>
      <xdr:nvPicPr>
        <xdr:cNvPr id="2" name="Picture 1" descr="C:\Users\Tapan\Downloads\Compressed\EN\color\T1314EN.gif">
          <a:extLst>
            <a:ext uri="{FF2B5EF4-FFF2-40B4-BE49-F238E27FC236}">
              <a16:creationId xmlns:a16="http://schemas.microsoft.com/office/drawing/2014/main" id="{08ECE456-2F8F-463F-BB17-1C2610AA7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86425" y="0"/>
          <a:ext cx="0" cy="6462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2</xdr:row>
      <xdr:rowOff>97210</xdr:rowOff>
    </xdr:to>
    <xdr:pic>
      <xdr:nvPicPr>
        <xdr:cNvPr id="3" name="Picture 1" descr="C:\Users\Tapan\Downloads\Compressed\EN\color\T1314EN.gif">
          <a:extLst>
            <a:ext uri="{FF2B5EF4-FFF2-40B4-BE49-F238E27FC236}">
              <a16:creationId xmlns:a16="http://schemas.microsoft.com/office/drawing/2014/main" id="{11B5367E-38B9-4DB0-9E78-90FB8EF0D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86425" y="0"/>
          <a:ext cx="0" cy="6157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873259</xdr:colOff>
      <xdr:row>0</xdr:row>
      <xdr:rowOff>108373</xdr:rowOff>
    </xdr:from>
    <xdr:to>
      <xdr:col>1</xdr:col>
      <xdr:colOff>1615439</xdr:colOff>
      <xdr:row>3</xdr:row>
      <xdr:rowOff>74507</xdr:rowOff>
    </xdr:to>
    <xdr:pic>
      <xdr:nvPicPr>
        <xdr:cNvPr id="4" name="il_fi" descr="http://fullertonrotary.org/images/RotaryWheel.jpg">
          <a:extLst>
            <a:ext uri="{FF2B5EF4-FFF2-40B4-BE49-F238E27FC236}">
              <a16:creationId xmlns:a16="http://schemas.microsoft.com/office/drawing/2014/main" id="{15064862-DF4B-4E8F-801A-CA04539C8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78059" y="108373"/>
          <a:ext cx="742180" cy="7205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2</xdr:row>
      <xdr:rowOff>146316</xdr:rowOff>
    </xdr:to>
    <xdr:pic>
      <xdr:nvPicPr>
        <xdr:cNvPr id="5" name="Picture 1" descr="C:\Users\Tapan\Downloads\Compressed\EN\color\T1314EN.gif">
          <a:extLst>
            <a:ext uri="{FF2B5EF4-FFF2-40B4-BE49-F238E27FC236}">
              <a16:creationId xmlns:a16="http://schemas.microsoft.com/office/drawing/2014/main" id="{EC5B27FE-1E62-4E46-BCDD-CAC4CF8AA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86425" y="0"/>
          <a:ext cx="0" cy="6691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8466</xdr:colOff>
      <xdr:row>2</xdr:row>
      <xdr:rowOff>118533</xdr:rowOff>
    </xdr:from>
    <xdr:to>
      <xdr:col>4</xdr:col>
      <xdr:colOff>8466</xdr:colOff>
      <xdr:row>4</xdr:row>
      <xdr:rowOff>238603</xdr:rowOff>
    </xdr:to>
    <xdr:pic>
      <xdr:nvPicPr>
        <xdr:cNvPr id="6" name="Picture 1" descr="C:\Users\Tapan\Downloads\Compressed\EN\color\T1314EN.gif">
          <a:extLst>
            <a:ext uri="{FF2B5EF4-FFF2-40B4-BE49-F238E27FC236}">
              <a16:creationId xmlns:a16="http://schemas.microsoft.com/office/drawing/2014/main" id="{DB626FB9-E111-4475-9867-0A1278876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57799" y="508000"/>
          <a:ext cx="0" cy="628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2</xdr:row>
      <xdr:rowOff>164539</xdr:rowOff>
    </xdr:to>
    <xdr:pic>
      <xdr:nvPicPr>
        <xdr:cNvPr id="7" name="Picture 6" descr="C:\Users\Tapan\Downloads\Compressed\EN\color\T1314EN.gif">
          <a:extLst>
            <a:ext uri="{FF2B5EF4-FFF2-40B4-BE49-F238E27FC236}">
              <a16:creationId xmlns:a16="http://schemas.microsoft.com/office/drawing/2014/main" id="{A6C7271C-A3CA-45A8-A7D9-2BC3DA111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46220" y="0"/>
          <a:ext cx="0" cy="6674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2</xdr:row>
      <xdr:rowOff>134059</xdr:rowOff>
    </xdr:to>
    <xdr:pic>
      <xdr:nvPicPr>
        <xdr:cNvPr id="8" name="Picture 1" descr="C:\Users\Tapan\Downloads\Compressed\EN\color\T1314EN.gif">
          <a:extLst>
            <a:ext uri="{FF2B5EF4-FFF2-40B4-BE49-F238E27FC236}">
              <a16:creationId xmlns:a16="http://schemas.microsoft.com/office/drawing/2014/main" id="{478D78A2-0694-4C29-92F6-9F48E0572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46220" y="0"/>
          <a:ext cx="0" cy="6369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2</xdr:row>
      <xdr:rowOff>188111</xdr:rowOff>
    </xdr:to>
    <xdr:pic>
      <xdr:nvPicPr>
        <xdr:cNvPr id="10" name="Picture 1" descr="C:\Users\Tapan\Downloads\Compressed\EN\color\T1314EN.gif">
          <a:extLst>
            <a:ext uri="{FF2B5EF4-FFF2-40B4-BE49-F238E27FC236}">
              <a16:creationId xmlns:a16="http://schemas.microsoft.com/office/drawing/2014/main" id="{27A0C796-D45F-4FC4-A21D-115883AC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46220" y="0"/>
          <a:ext cx="0" cy="6910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2</xdr:row>
      <xdr:rowOff>156919</xdr:rowOff>
    </xdr:to>
    <xdr:pic>
      <xdr:nvPicPr>
        <xdr:cNvPr id="11" name="Picture 1" descr="C:\Users\Tapan\Downloads\Compressed\EN\color\T1314EN.gif">
          <a:extLst>
            <a:ext uri="{FF2B5EF4-FFF2-40B4-BE49-F238E27FC236}">
              <a16:creationId xmlns:a16="http://schemas.microsoft.com/office/drawing/2014/main" id="{6078CE52-11FD-4D8A-AD54-D19228C92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46220" y="0"/>
          <a:ext cx="0" cy="6598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2</xdr:row>
      <xdr:rowOff>123456</xdr:rowOff>
    </xdr:to>
    <xdr:pic>
      <xdr:nvPicPr>
        <xdr:cNvPr id="2" name="Picture 1" descr="C:\Users\Tapan\Downloads\Compressed\EN\color\T1314EN.gif">
          <a:extLst>
            <a:ext uri="{FF2B5EF4-FFF2-40B4-BE49-F238E27FC236}">
              <a16:creationId xmlns:a16="http://schemas.microsoft.com/office/drawing/2014/main" id="{1D19B647-70FD-4AF2-BDFB-38F1B12C3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26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2</xdr:row>
      <xdr:rowOff>97210</xdr:rowOff>
    </xdr:to>
    <xdr:pic>
      <xdr:nvPicPr>
        <xdr:cNvPr id="3" name="Picture 1" descr="C:\Users\Tapan\Downloads\Compressed\EN\color\T1314EN.gif">
          <a:extLst>
            <a:ext uri="{FF2B5EF4-FFF2-40B4-BE49-F238E27FC236}">
              <a16:creationId xmlns:a16="http://schemas.microsoft.com/office/drawing/2014/main" id="{661BB62A-9282-417F-945C-8B96B7301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001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873259</xdr:colOff>
      <xdr:row>0</xdr:row>
      <xdr:rowOff>108373</xdr:rowOff>
    </xdr:from>
    <xdr:to>
      <xdr:col>1</xdr:col>
      <xdr:colOff>1615439</xdr:colOff>
      <xdr:row>3</xdr:row>
      <xdr:rowOff>74507</xdr:rowOff>
    </xdr:to>
    <xdr:pic>
      <xdr:nvPicPr>
        <xdr:cNvPr id="4" name="il_fi" descr="http://fullertonrotary.org/images/RotaryWheel.jpg">
          <a:extLst>
            <a:ext uri="{FF2B5EF4-FFF2-40B4-BE49-F238E27FC236}">
              <a16:creationId xmlns:a16="http://schemas.microsoft.com/office/drawing/2014/main" id="{356F5694-935E-4FC0-88D0-1EFB68426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78059" y="108373"/>
          <a:ext cx="742180" cy="7205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2</xdr:row>
      <xdr:rowOff>146316</xdr:rowOff>
    </xdr:to>
    <xdr:pic>
      <xdr:nvPicPr>
        <xdr:cNvPr id="5" name="Picture 1" descr="C:\Users\Tapan\Downloads\Compressed\EN\color\T1314EN.gif">
          <a:extLst>
            <a:ext uri="{FF2B5EF4-FFF2-40B4-BE49-F238E27FC236}">
              <a16:creationId xmlns:a16="http://schemas.microsoft.com/office/drawing/2014/main" id="{70EB1DE3-6C22-462A-A357-56550149F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492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8466</xdr:colOff>
      <xdr:row>2</xdr:row>
      <xdr:rowOff>118533</xdr:rowOff>
    </xdr:from>
    <xdr:to>
      <xdr:col>4</xdr:col>
      <xdr:colOff>8466</xdr:colOff>
      <xdr:row>4</xdr:row>
      <xdr:rowOff>238603</xdr:rowOff>
    </xdr:to>
    <xdr:pic>
      <xdr:nvPicPr>
        <xdr:cNvPr id="6" name="Picture 1" descr="C:\Users\Tapan\Downloads\Compressed\EN\color\T1314EN.gif">
          <a:extLst>
            <a:ext uri="{FF2B5EF4-FFF2-40B4-BE49-F238E27FC236}">
              <a16:creationId xmlns:a16="http://schemas.microsoft.com/office/drawing/2014/main" id="{5B3AA062-0386-4F5E-BDED-6C5249A00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9126" y="621453"/>
          <a:ext cx="0" cy="622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2</xdr:row>
      <xdr:rowOff>164539</xdr:rowOff>
    </xdr:to>
    <xdr:pic>
      <xdr:nvPicPr>
        <xdr:cNvPr id="7" name="Picture 6" descr="C:\Users\Tapan\Downloads\Compressed\EN\color\T1314EN.gif">
          <a:extLst>
            <a:ext uri="{FF2B5EF4-FFF2-40B4-BE49-F238E27FC236}">
              <a16:creationId xmlns:a16="http://schemas.microsoft.com/office/drawing/2014/main" id="{7FF0FFB5-B1D2-4372-8CE2-32C855011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674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2</xdr:row>
      <xdr:rowOff>134059</xdr:rowOff>
    </xdr:to>
    <xdr:pic>
      <xdr:nvPicPr>
        <xdr:cNvPr id="8" name="Picture 1" descr="C:\Users\Tapan\Downloads\Compressed\EN\color\T1314EN.gif">
          <a:extLst>
            <a:ext uri="{FF2B5EF4-FFF2-40B4-BE49-F238E27FC236}">
              <a16:creationId xmlns:a16="http://schemas.microsoft.com/office/drawing/2014/main" id="{08E56C9A-26C8-4AC8-8042-F90C49367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369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2</xdr:row>
      <xdr:rowOff>188111</xdr:rowOff>
    </xdr:to>
    <xdr:pic>
      <xdr:nvPicPr>
        <xdr:cNvPr id="9" name="Picture 1" descr="C:\Users\Tapan\Downloads\Compressed\EN\color\T1314EN.gif">
          <a:extLst>
            <a:ext uri="{FF2B5EF4-FFF2-40B4-BE49-F238E27FC236}">
              <a16:creationId xmlns:a16="http://schemas.microsoft.com/office/drawing/2014/main" id="{8BCCAD04-A77C-458E-9E9A-DEFEA9348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910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2</xdr:row>
      <xdr:rowOff>156919</xdr:rowOff>
    </xdr:to>
    <xdr:pic>
      <xdr:nvPicPr>
        <xdr:cNvPr id="10" name="Picture 1" descr="C:\Users\Tapan\Downloads\Compressed\EN\color\T1314EN.gif">
          <a:extLst>
            <a:ext uri="{FF2B5EF4-FFF2-40B4-BE49-F238E27FC236}">
              <a16:creationId xmlns:a16="http://schemas.microsoft.com/office/drawing/2014/main" id="{F9434D29-6FC7-459A-8B2F-87658B03F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598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10BE-1417-4402-9498-D45E707E6E8E}">
  <sheetPr>
    <pageSetUpPr fitToPage="1"/>
  </sheetPr>
  <dimension ref="A1:I55"/>
  <sheetViews>
    <sheetView tabSelected="1" zoomScaleNormal="100" zoomScaleSheetLayoutView="90" workbookViewId="0">
      <selection activeCell="I54" sqref="I54"/>
    </sheetView>
  </sheetViews>
  <sheetFormatPr defaultRowHeight="14.4" x14ac:dyDescent="0.3"/>
  <cols>
    <col min="1" max="1" width="4.44140625" bestFit="1" customWidth="1"/>
    <col min="2" max="2" width="32.77734375" customWidth="1"/>
    <col min="3" max="3" width="25.88671875" customWidth="1"/>
    <col min="4" max="4" width="13.88671875" customWidth="1"/>
    <col min="5" max="5" width="17.6640625" customWidth="1"/>
    <col min="6" max="6" width="13.6640625" customWidth="1"/>
    <col min="7" max="7" width="14.109375" customWidth="1"/>
    <col min="13" max="13" width="17" customWidth="1"/>
  </cols>
  <sheetData>
    <row r="1" spans="1:9" ht="19.95" customHeight="1" x14ac:dyDescent="0.3">
      <c r="A1" s="43" t="s">
        <v>13</v>
      </c>
      <c r="B1" s="43"/>
      <c r="C1" s="43"/>
      <c r="D1" s="43"/>
      <c r="E1" s="43"/>
      <c r="F1" s="43"/>
      <c r="G1" s="43"/>
      <c r="H1" s="1"/>
      <c r="I1" s="1"/>
    </row>
    <row r="2" spans="1:9" ht="19.95" customHeight="1" x14ac:dyDescent="0.3">
      <c r="A2" s="43" t="s">
        <v>14</v>
      </c>
      <c r="B2" s="43"/>
      <c r="C2" s="43"/>
      <c r="D2" s="43"/>
      <c r="E2" s="43"/>
      <c r="F2" s="43"/>
      <c r="G2" s="43"/>
      <c r="H2" s="1"/>
      <c r="I2" s="1"/>
    </row>
    <row r="3" spans="1:9" ht="19.95" customHeight="1" x14ac:dyDescent="0.35">
      <c r="A3" s="44" t="s">
        <v>68</v>
      </c>
      <c r="B3" s="44"/>
      <c r="C3" s="44"/>
      <c r="D3" s="44"/>
      <c r="E3" s="44"/>
      <c r="F3" s="44"/>
      <c r="G3" s="44"/>
      <c r="H3" s="1"/>
      <c r="I3" s="1"/>
    </row>
    <row r="4" spans="1:9" ht="19.95" customHeight="1" x14ac:dyDescent="0.35">
      <c r="A4" s="3"/>
      <c r="B4" s="3"/>
      <c r="C4" s="4"/>
      <c r="D4" s="3"/>
      <c r="E4" s="3"/>
      <c r="F4" s="1"/>
      <c r="G4" s="1"/>
      <c r="H4" s="1"/>
      <c r="I4" s="1"/>
    </row>
    <row r="5" spans="1:9" ht="19.95" customHeight="1" x14ac:dyDescent="0.4">
      <c r="A5" s="41" t="s">
        <v>8</v>
      </c>
      <c r="B5" s="41" t="s">
        <v>9</v>
      </c>
      <c r="C5" s="41" t="s">
        <v>10</v>
      </c>
      <c r="D5" s="41" t="s">
        <v>20</v>
      </c>
      <c r="E5" s="41" t="s">
        <v>11</v>
      </c>
      <c r="F5" s="41" t="s">
        <v>59</v>
      </c>
      <c r="G5" s="41" t="s">
        <v>66</v>
      </c>
      <c r="H5" s="1"/>
      <c r="I5" s="1"/>
    </row>
    <row r="6" spans="1:9" ht="22.05" customHeight="1" x14ac:dyDescent="0.35">
      <c r="A6" s="6">
        <v>1</v>
      </c>
      <c r="B6" s="6" t="s">
        <v>18</v>
      </c>
      <c r="C6" s="6" t="s">
        <v>19</v>
      </c>
      <c r="D6" s="6">
        <v>11706994</v>
      </c>
      <c r="E6" s="6">
        <v>1711568209</v>
      </c>
      <c r="F6" s="13">
        <v>10000</v>
      </c>
      <c r="G6" s="16"/>
      <c r="H6" s="1"/>
      <c r="I6" s="1"/>
    </row>
    <row r="7" spans="1:9" ht="22.05" customHeight="1" x14ac:dyDescent="0.35">
      <c r="A7" s="8">
        <v>2</v>
      </c>
      <c r="B7" s="6" t="s">
        <v>61</v>
      </c>
      <c r="C7" s="6" t="s">
        <v>21</v>
      </c>
      <c r="D7" s="6">
        <v>11762886</v>
      </c>
      <c r="E7" s="6">
        <v>1674888898</v>
      </c>
      <c r="F7" s="13">
        <v>10000</v>
      </c>
      <c r="G7" s="16"/>
      <c r="H7" s="1"/>
      <c r="I7" s="1"/>
    </row>
    <row r="8" spans="1:9" ht="22.05" customHeight="1" x14ac:dyDescent="0.35">
      <c r="A8" s="6">
        <v>3</v>
      </c>
      <c r="B8" s="6" t="s">
        <v>46</v>
      </c>
      <c r="C8" s="6" t="s">
        <v>4</v>
      </c>
      <c r="D8" s="6">
        <v>12132695</v>
      </c>
      <c r="E8" s="6">
        <v>1767720716</v>
      </c>
      <c r="F8" s="13">
        <v>10000</v>
      </c>
      <c r="G8" s="17"/>
      <c r="H8" s="1"/>
      <c r="I8" s="1"/>
    </row>
    <row r="9" spans="1:9" ht="22.05" customHeight="1" x14ac:dyDescent="0.35">
      <c r="A9" s="8">
        <v>4</v>
      </c>
      <c r="B9" s="6" t="s">
        <v>62</v>
      </c>
      <c r="C9" s="6" t="s">
        <v>38</v>
      </c>
      <c r="D9" s="6">
        <v>11238541</v>
      </c>
      <c r="E9" s="6">
        <v>1711046889</v>
      </c>
      <c r="F9" s="13">
        <v>10000</v>
      </c>
      <c r="G9" s="16"/>
      <c r="H9" s="1"/>
      <c r="I9" s="1"/>
    </row>
    <row r="10" spans="1:9" ht="22.05" customHeight="1" x14ac:dyDescent="0.35">
      <c r="A10" s="6">
        <v>5</v>
      </c>
      <c r="B10" s="6" t="s">
        <v>63</v>
      </c>
      <c r="C10" s="6" t="s">
        <v>32</v>
      </c>
      <c r="D10" s="6">
        <v>11355216</v>
      </c>
      <c r="E10" s="6">
        <v>1711043170</v>
      </c>
      <c r="F10" s="13">
        <v>10000</v>
      </c>
      <c r="G10" s="16"/>
      <c r="H10" s="1"/>
      <c r="I10" s="1"/>
    </row>
    <row r="11" spans="1:9" ht="22.05" customHeight="1" x14ac:dyDescent="0.35">
      <c r="A11" s="8">
        <v>6</v>
      </c>
      <c r="B11" s="12" t="s">
        <v>64</v>
      </c>
      <c r="C11" s="6" t="s">
        <v>33</v>
      </c>
      <c r="D11" s="6">
        <v>11416650</v>
      </c>
      <c r="E11" s="6">
        <v>1715004199</v>
      </c>
      <c r="F11" s="13">
        <v>10000</v>
      </c>
      <c r="G11" s="16"/>
      <c r="H11" s="1"/>
      <c r="I11" s="1"/>
    </row>
    <row r="12" spans="1:9" ht="22.05" customHeight="1" x14ac:dyDescent="0.35">
      <c r="A12" s="6">
        <v>7</v>
      </c>
      <c r="B12" s="6" t="s">
        <v>65</v>
      </c>
      <c r="C12" s="6" t="s">
        <v>22</v>
      </c>
      <c r="D12" s="6">
        <v>6956964</v>
      </c>
      <c r="E12" s="6">
        <v>1819405000</v>
      </c>
      <c r="F12" s="13">
        <v>10000</v>
      </c>
      <c r="G12" s="16"/>
      <c r="H12" s="1"/>
      <c r="I12" s="1"/>
    </row>
    <row r="13" spans="1:9" ht="22.05" customHeight="1" x14ac:dyDescent="0.35">
      <c r="A13" s="8">
        <v>8</v>
      </c>
      <c r="B13" s="11" t="s">
        <v>1</v>
      </c>
      <c r="C13" s="6" t="s">
        <v>51</v>
      </c>
      <c r="D13" s="6">
        <v>8499414</v>
      </c>
      <c r="E13" s="6">
        <v>1711612780</v>
      </c>
      <c r="F13" s="13">
        <v>10000</v>
      </c>
      <c r="G13" s="16"/>
      <c r="H13" s="1"/>
      <c r="I13" s="1"/>
    </row>
    <row r="14" spans="1:9" ht="19.8" customHeight="1" x14ac:dyDescent="0.35">
      <c r="A14" s="6">
        <v>9</v>
      </c>
      <c r="B14" s="11" t="s">
        <v>2</v>
      </c>
      <c r="C14" s="9" t="s">
        <v>53</v>
      </c>
      <c r="D14" s="6">
        <v>8125697</v>
      </c>
      <c r="E14" s="6">
        <v>1915398213</v>
      </c>
      <c r="F14" s="13">
        <v>10000</v>
      </c>
      <c r="G14" s="16"/>
      <c r="H14" s="1"/>
      <c r="I14" s="1"/>
    </row>
    <row r="15" spans="1:9" ht="32.4" customHeight="1" x14ac:dyDescent="0.35">
      <c r="A15" s="8">
        <v>10</v>
      </c>
      <c r="B15" s="12" t="s">
        <v>34</v>
      </c>
      <c r="C15" s="9" t="s">
        <v>52</v>
      </c>
      <c r="D15" s="6">
        <v>9747756</v>
      </c>
      <c r="E15" s="6">
        <v>1711931663</v>
      </c>
      <c r="F15" s="13">
        <v>10000</v>
      </c>
      <c r="G15" s="16"/>
      <c r="H15" s="1"/>
      <c r="I15" s="1"/>
    </row>
    <row r="16" spans="1:9" ht="18" customHeight="1" x14ac:dyDescent="0.35">
      <c r="A16" s="6">
        <v>11</v>
      </c>
      <c r="B16" s="6" t="s">
        <v>5</v>
      </c>
      <c r="C16" s="9" t="s">
        <v>54</v>
      </c>
      <c r="D16" s="6">
        <v>11457745</v>
      </c>
      <c r="E16" s="6">
        <v>1713000222</v>
      </c>
      <c r="F16" s="13">
        <v>10000</v>
      </c>
      <c r="G16" s="16"/>
      <c r="H16" s="1"/>
      <c r="I16" s="1"/>
    </row>
    <row r="17" spans="1:9" ht="21.6" customHeight="1" x14ac:dyDescent="0.35">
      <c r="A17" s="8">
        <v>12</v>
      </c>
      <c r="B17" s="6" t="s">
        <v>58</v>
      </c>
      <c r="C17" s="9" t="s">
        <v>55</v>
      </c>
      <c r="D17" s="6">
        <v>11355211</v>
      </c>
      <c r="E17" s="6">
        <v>1962400391</v>
      </c>
      <c r="F17" s="13">
        <v>10000</v>
      </c>
      <c r="G17" s="18">
        <v>10000</v>
      </c>
      <c r="H17" s="1"/>
      <c r="I17" s="1"/>
    </row>
    <row r="18" spans="1:9" ht="21" customHeight="1" x14ac:dyDescent="0.35">
      <c r="A18" s="6">
        <v>13</v>
      </c>
      <c r="B18" s="6" t="s">
        <v>29</v>
      </c>
      <c r="C18" s="9" t="s">
        <v>23</v>
      </c>
      <c r="D18" s="6">
        <v>11825293</v>
      </c>
      <c r="E18" s="6">
        <v>1718232918</v>
      </c>
      <c r="F18" s="13">
        <v>10000</v>
      </c>
      <c r="G18" s="18">
        <v>10000</v>
      </c>
      <c r="H18" s="1"/>
      <c r="I18" s="1"/>
    </row>
    <row r="19" spans="1:9" ht="22.05" customHeight="1" x14ac:dyDescent="0.35">
      <c r="A19" s="8">
        <v>14</v>
      </c>
      <c r="B19" s="6" t="s">
        <v>16</v>
      </c>
      <c r="C19" s="6" t="s">
        <v>12</v>
      </c>
      <c r="D19" s="10">
        <v>11620567</v>
      </c>
      <c r="E19" s="10">
        <v>1714073391</v>
      </c>
      <c r="F19" s="13">
        <v>10000</v>
      </c>
      <c r="G19" s="16"/>
      <c r="H19" s="1"/>
      <c r="I19" s="1"/>
    </row>
    <row r="20" spans="1:9" ht="22.05" customHeight="1" x14ac:dyDescent="0.35">
      <c r="A20" s="6">
        <v>15</v>
      </c>
      <c r="B20" s="6" t="s">
        <v>17</v>
      </c>
      <c r="C20" s="6" t="s">
        <v>24</v>
      </c>
      <c r="D20" s="6">
        <v>11665818</v>
      </c>
      <c r="E20" s="6">
        <v>1720688808</v>
      </c>
      <c r="F20" s="13">
        <v>10000</v>
      </c>
      <c r="G20" s="16"/>
      <c r="H20" s="1"/>
      <c r="I20" s="1"/>
    </row>
    <row r="21" spans="1:9" ht="22.05" customHeight="1" x14ac:dyDescent="0.35">
      <c r="A21" s="8">
        <v>16</v>
      </c>
      <c r="B21" s="6" t="s">
        <v>15</v>
      </c>
      <c r="C21" s="6" t="s">
        <v>50</v>
      </c>
      <c r="D21" s="6">
        <v>11223728</v>
      </c>
      <c r="E21" s="6">
        <v>1711435748</v>
      </c>
      <c r="F21" s="14"/>
      <c r="G21" s="16"/>
      <c r="H21" s="1"/>
      <c r="I21" s="1"/>
    </row>
    <row r="22" spans="1:9" ht="22.05" customHeight="1" x14ac:dyDescent="0.35">
      <c r="A22" s="6">
        <v>17</v>
      </c>
      <c r="B22" s="6" t="s">
        <v>35</v>
      </c>
      <c r="C22" s="6" t="s">
        <v>37</v>
      </c>
      <c r="D22" s="6">
        <v>11392949</v>
      </c>
      <c r="E22" s="6">
        <v>1718262628</v>
      </c>
      <c r="F22" s="14"/>
      <c r="G22" s="16"/>
      <c r="H22" s="1"/>
      <c r="I22" s="1"/>
    </row>
    <row r="23" spans="1:9" ht="22.05" customHeight="1" x14ac:dyDescent="0.35">
      <c r="A23" s="8">
        <v>18</v>
      </c>
      <c r="B23" s="6" t="s">
        <v>25</v>
      </c>
      <c r="C23" s="6" t="s">
        <v>36</v>
      </c>
      <c r="D23" s="6">
        <v>11664813</v>
      </c>
      <c r="E23" s="6">
        <v>1711238178</v>
      </c>
      <c r="F23" s="13">
        <v>10000</v>
      </c>
      <c r="G23" s="16"/>
      <c r="H23" s="1"/>
      <c r="I23" s="1"/>
    </row>
    <row r="24" spans="1:9" ht="22.05" customHeight="1" x14ac:dyDescent="0.35">
      <c r="A24" s="6">
        <v>19</v>
      </c>
      <c r="B24" s="6" t="s">
        <v>40</v>
      </c>
      <c r="C24" s="6" t="s">
        <v>39</v>
      </c>
      <c r="D24" s="6">
        <v>6714085</v>
      </c>
      <c r="E24" s="6">
        <v>1919465266</v>
      </c>
      <c r="F24" s="14"/>
      <c r="G24" s="16"/>
      <c r="H24" s="1"/>
      <c r="I24" s="1"/>
    </row>
    <row r="25" spans="1:9" ht="22.05" customHeight="1" x14ac:dyDescent="0.35">
      <c r="A25" s="8">
        <v>20</v>
      </c>
      <c r="B25" s="6" t="s">
        <v>57</v>
      </c>
      <c r="C25" s="6" t="s">
        <v>7</v>
      </c>
      <c r="D25" s="10">
        <v>6714087</v>
      </c>
      <c r="E25" s="10">
        <v>1819225881</v>
      </c>
      <c r="F25" s="13">
        <v>10000</v>
      </c>
      <c r="G25" s="16"/>
      <c r="H25" s="1"/>
      <c r="I25" s="1"/>
    </row>
    <row r="26" spans="1:9" ht="22.05" customHeight="1" x14ac:dyDescent="0.35">
      <c r="A26" s="6">
        <v>21</v>
      </c>
      <c r="B26" s="6" t="s">
        <v>3</v>
      </c>
      <c r="C26" s="6" t="s">
        <v>6</v>
      </c>
      <c r="D26" s="6">
        <v>6956968</v>
      </c>
      <c r="E26" s="10"/>
      <c r="F26" s="13">
        <v>10000</v>
      </c>
      <c r="G26" s="16"/>
      <c r="H26" s="1"/>
      <c r="I26" s="1"/>
    </row>
    <row r="27" spans="1:9" ht="22.05" customHeight="1" x14ac:dyDescent="0.35">
      <c r="A27" s="8">
        <v>22</v>
      </c>
      <c r="B27" s="6" t="s">
        <v>26</v>
      </c>
      <c r="C27" s="6" t="s">
        <v>6</v>
      </c>
      <c r="D27" s="10">
        <v>11927591</v>
      </c>
      <c r="E27" s="10">
        <v>1819858404</v>
      </c>
      <c r="F27" s="13">
        <v>10000</v>
      </c>
      <c r="G27" s="16"/>
      <c r="H27" s="1"/>
      <c r="I27" s="1"/>
    </row>
    <row r="28" spans="1:9" ht="22.05" customHeight="1" x14ac:dyDescent="0.35">
      <c r="A28" s="6">
        <v>23</v>
      </c>
      <c r="B28" s="9" t="s">
        <v>43</v>
      </c>
      <c r="C28" s="6" t="s">
        <v>7</v>
      </c>
      <c r="D28" s="6">
        <v>12546504</v>
      </c>
      <c r="E28" s="6">
        <v>1714477778</v>
      </c>
      <c r="F28" s="14"/>
      <c r="G28" s="16"/>
      <c r="H28" s="1"/>
      <c r="I28" s="1"/>
    </row>
    <row r="29" spans="1:9" ht="22.05" customHeight="1" x14ac:dyDescent="0.35">
      <c r="A29" s="8">
        <v>24</v>
      </c>
      <c r="B29" s="9" t="s">
        <v>44</v>
      </c>
      <c r="C29" s="6" t="s">
        <v>7</v>
      </c>
      <c r="D29" s="6">
        <v>12541777</v>
      </c>
      <c r="E29" s="6">
        <v>1830578763</v>
      </c>
      <c r="F29" s="14"/>
      <c r="G29" s="16"/>
      <c r="H29" s="1"/>
      <c r="I29" s="1"/>
    </row>
    <row r="30" spans="1:9" ht="22.05" customHeight="1" x14ac:dyDescent="0.35">
      <c r="A30" s="6">
        <v>25</v>
      </c>
      <c r="B30" s="9" t="s">
        <v>45</v>
      </c>
      <c r="C30" s="6" t="s">
        <v>7</v>
      </c>
      <c r="D30" s="6">
        <v>12541781</v>
      </c>
      <c r="E30" s="6">
        <v>1718304613</v>
      </c>
      <c r="F30" s="13">
        <v>10000</v>
      </c>
      <c r="G30" s="16"/>
      <c r="H30" s="1"/>
      <c r="I30" s="1"/>
    </row>
    <row r="31" spans="1:9" ht="22.05" customHeight="1" x14ac:dyDescent="0.35">
      <c r="A31" s="8">
        <v>26</v>
      </c>
      <c r="B31" s="6" t="s">
        <v>27</v>
      </c>
      <c r="C31" s="6" t="s">
        <v>6</v>
      </c>
      <c r="D31" s="6">
        <v>11331690</v>
      </c>
      <c r="E31" s="7">
        <v>1731205789</v>
      </c>
      <c r="F31" s="13">
        <v>10000</v>
      </c>
      <c r="G31" s="16"/>
      <c r="H31" s="1"/>
      <c r="I31" s="1"/>
    </row>
    <row r="32" spans="1:9" ht="22.05" customHeight="1" x14ac:dyDescent="0.35">
      <c r="A32" s="6">
        <v>27</v>
      </c>
      <c r="B32" s="6" t="s">
        <v>30</v>
      </c>
      <c r="C32" s="6" t="s">
        <v>6</v>
      </c>
      <c r="D32" s="6">
        <v>12159463</v>
      </c>
      <c r="E32" s="7">
        <v>1711366375</v>
      </c>
      <c r="F32" s="13">
        <v>10000</v>
      </c>
      <c r="G32" s="16"/>
      <c r="H32" s="1"/>
      <c r="I32" s="1"/>
    </row>
    <row r="33" spans="1:9" ht="22.05" customHeight="1" x14ac:dyDescent="0.35">
      <c r="A33" s="8">
        <v>28</v>
      </c>
      <c r="B33" s="6" t="s">
        <v>28</v>
      </c>
      <c r="C33" s="6" t="s">
        <v>6</v>
      </c>
      <c r="D33" s="6">
        <v>11331685</v>
      </c>
      <c r="E33" s="7">
        <v>1731205761</v>
      </c>
      <c r="F33" s="13">
        <v>10000</v>
      </c>
      <c r="G33" s="16"/>
      <c r="H33" s="1"/>
      <c r="I33" s="1"/>
    </row>
    <row r="34" spans="1:9" ht="22.05" customHeight="1" x14ac:dyDescent="0.35">
      <c r="A34" s="6">
        <v>29</v>
      </c>
      <c r="B34" s="6" t="s">
        <v>0</v>
      </c>
      <c r="C34" s="6" t="s">
        <v>7</v>
      </c>
      <c r="D34" s="6">
        <v>11459357</v>
      </c>
      <c r="E34" s="6">
        <v>1713000222</v>
      </c>
      <c r="F34" s="13">
        <v>10000</v>
      </c>
      <c r="G34" s="16"/>
      <c r="H34" s="1"/>
      <c r="I34" s="1"/>
    </row>
    <row r="35" spans="1:9" ht="22.05" customHeight="1" x14ac:dyDescent="0.35">
      <c r="A35" s="8">
        <v>30</v>
      </c>
      <c r="B35" s="9" t="s">
        <v>60</v>
      </c>
      <c r="C35" s="6" t="s">
        <v>7</v>
      </c>
      <c r="D35" s="6">
        <v>10959830</v>
      </c>
      <c r="E35" s="6">
        <v>1713005821</v>
      </c>
      <c r="F35" s="13">
        <v>10000</v>
      </c>
      <c r="G35" s="16"/>
      <c r="H35" s="1"/>
      <c r="I35" s="1"/>
    </row>
    <row r="36" spans="1:9" ht="22.05" customHeight="1" x14ac:dyDescent="0.35">
      <c r="A36" s="6">
        <v>31</v>
      </c>
      <c r="B36" s="6" t="s">
        <v>31</v>
      </c>
      <c r="C36" s="7" t="s">
        <v>6</v>
      </c>
      <c r="D36" s="7">
        <v>12156217</v>
      </c>
      <c r="E36" s="7">
        <v>1711016714</v>
      </c>
      <c r="F36" s="13">
        <v>10000</v>
      </c>
      <c r="G36" s="16"/>
      <c r="H36" s="1"/>
      <c r="I36" s="1"/>
    </row>
    <row r="37" spans="1:9" ht="22.05" customHeight="1" x14ac:dyDescent="0.35">
      <c r="A37" s="8">
        <v>32</v>
      </c>
      <c r="B37" s="6" t="s">
        <v>56</v>
      </c>
      <c r="C37" s="7" t="s">
        <v>6</v>
      </c>
      <c r="D37" s="7">
        <v>12546504</v>
      </c>
      <c r="E37" s="7">
        <v>1819306052</v>
      </c>
      <c r="F37" s="13">
        <v>10000</v>
      </c>
      <c r="G37" s="16"/>
      <c r="H37" s="1"/>
      <c r="I37" s="1"/>
    </row>
    <row r="38" spans="1:9" ht="22.05" customHeight="1" x14ac:dyDescent="0.35">
      <c r="A38" s="6">
        <v>33</v>
      </c>
      <c r="B38" s="6" t="s">
        <v>47</v>
      </c>
      <c r="C38" s="7" t="s">
        <v>6</v>
      </c>
      <c r="D38" s="7">
        <v>12669164</v>
      </c>
      <c r="E38" s="7">
        <v>1712852915</v>
      </c>
      <c r="F38" s="13">
        <v>10000</v>
      </c>
      <c r="G38" s="16"/>
      <c r="H38" s="1"/>
      <c r="I38" s="1"/>
    </row>
    <row r="39" spans="1:9" ht="22.05" customHeight="1" x14ac:dyDescent="0.35">
      <c r="A39" s="8">
        <v>34</v>
      </c>
      <c r="B39" s="6" t="s">
        <v>48</v>
      </c>
      <c r="C39" s="7" t="s">
        <v>6</v>
      </c>
      <c r="D39" s="7">
        <v>12689227</v>
      </c>
      <c r="E39" s="7">
        <v>1741840391</v>
      </c>
      <c r="F39" s="13">
        <v>10000</v>
      </c>
      <c r="G39" s="16"/>
      <c r="H39" s="1"/>
      <c r="I39" s="1"/>
    </row>
    <row r="40" spans="1:9" ht="22.05" customHeight="1" x14ac:dyDescent="0.35">
      <c r="A40" s="6">
        <v>35</v>
      </c>
      <c r="B40" s="6" t="s">
        <v>49</v>
      </c>
      <c r="C40" s="7" t="s">
        <v>6</v>
      </c>
      <c r="D40" s="7">
        <v>12669136</v>
      </c>
      <c r="E40" s="7">
        <v>1715474766</v>
      </c>
      <c r="F40" s="13">
        <v>10000</v>
      </c>
      <c r="G40" s="16"/>
      <c r="H40" s="1"/>
      <c r="I40" s="1"/>
    </row>
    <row r="41" spans="1:9" ht="22.05" customHeight="1" x14ac:dyDescent="0.35">
      <c r="A41" s="8">
        <v>36</v>
      </c>
      <c r="B41" s="9" t="s">
        <v>42</v>
      </c>
      <c r="C41" s="6" t="s">
        <v>7</v>
      </c>
      <c r="D41" s="6">
        <v>12156201</v>
      </c>
      <c r="E41" s="6">
        <v>1797027810</v>
      </c>
      <c r="F41" s="14"/>
      <c r="G41" s="16"/>
      <c r="H41" s="1"/>
      <c r="I41" s="1"/>
    </row>
    <row r="42" spans="1:9" ht="22.05" customHeight="1" x14ac:dyDescent="0.35">
      <c r="A42" s="6">
        <v>37</v>
      </c>
      <c r="B42" s="9" t="s">
        <v>41</v>
      </c>
      <c r="C42" s="6" t="s">
        <v>7</v>
      </c>
      <c r="D42" s="6">
        <v>11673911</v>
      </c>
      <c r="E42" s="6">
        <v>1733501944</v>
      </c>
      <c r="F42" s="14"/>
      <c r="G42" s="16"/>
      <c r="H42" s="1"/>
      <c r="I42" s="1"/>
    </row>
    <row r="43" spans="1:9" ht="22.05" customHeight="1" x14ac:dyDescent="0.4">
      <c r="A43" s="8">
        <v>38</v>
      </c>
      <c r="B43" s="6" t="s">
        <v>67</v>
      </c>
      <c r="C43" s="7" t="s">
        <v>6</v>
      </c>
      <c r="D43" s="15"/>
      <c r="E43" s="7">
        <v>1965822445</v>
      </c>
      <c r="F43" s="13">
        <v>10000</v>
      </c>
      <c r="G43" s="16"/>
      <c r="H43" s="1"/>
      <c r="I43" s="1"/>
    </row>
    <row r="44" spans="1:9" ht="22.05" customHeight="1" x14ac:dyDescent="0.4">
      <c r="A44" s="19"/>
      <c r="B44" s="20" t="s">
        <v>69</v>
      </c>
      <c r="C44" s="21"/>
      <c r="D44" s="21"/>
      <c r="E44" s="21"/>
      <c r="F44" s="22">
        <f>SUM(F6:F43)</f>
        <v>310000</v>
      </c>
      <c r="G44" s="22">
        <f>SUM(G6:G43)</f>
        <v>20000</v>
      </c>
      <c r="H44" s="1"/>
      <c r="I44" s="1"/>
    </row>
    <row r="45" spans="1:9" ht="22.05" customHeight="1" x14ac:dyDescent="0.4">
      <c r="A45" s="33"/>
      <c r="B45" s="32"/>
      <c r="C45" s="2"/>
      <c r="D45" s="2"/>
      <c r="E45" s="37"/>
      <c r="F45" s="1"/>
      <c r="G45" s="1"/>
      <c r="H45" s="1"/>
      <c r="I45" s="1"/>
    </row>
    <row r="46" spans="1:9" ht="22.05" customHeight="1" x14ac:dyDescent="0.35">
      <c r="A46" s="25" t="s">
        <v>71</v>
      </c>
      <c r="B46" s="26"/>
      <c r="C46" s="26"/>
      <c r="D46" s="27">
        <v>34000</v>
      </c>
      <c r="E46" s="26"/>
      <c r="F46" s="1"/>
      <c r="G46" s="1"/>
      <c r="H46" s="1"/>
    </row>
    <row r="47" spans="1:9" ht="22.05" customHeight="1" x14ac:dyDescent="0.35">
      <c r="A47" s="25" t="s">
        <v>72</v>
      </c>
      <c r="B47" s="28"/>
      <c r="C47" s="26"/>
      <c r="D47" s="27">
        <v>205890</v>
      </c>
      <c r="F47" s="1"/>
      <c r="G47" s="1"/>
      <c r="H47" s="1"/>
    </row>
    <row r="48" spans="1:9" ht="18.600000000000001" thickBot="1" x14ac:dyDescent="0.4">
      <c r="B48" s="24"/>
      <c r="C48" s="24"/>
      <c r="D48" s="30">
        <f>SUM(D46:D47)</f>
        <v>239890</v>
      </c>
      <c r="E48" s="24"/>
      <c r="F48" s="1"/>
      <c r="G48" s="1"/>
      <c r="H48" s="1"/>
      <c r="I48" s="1"/>
    </row>
    <row r="49" spans="1:9" ht="19.2" thickTop="1" thickBot="1" x14ac:dyDescent="0.4">
      <c r="A49" s="25" t="s">
        <v>74</v>
      </c>
      <c r="E49" s="29">
        <f>F44+G44-D48</f>
        <v>90110</v>
      </c>
      <c r="F49" s="1"/>
      <c r="G49" s="1"/>
      <c r="H49" s="1"/>
      <c r="I49" s="1"/>
    </row>
    <row r="50" spans="1:9" ht="15" thickTop="1" x14ac:dyDescent="0.3">
      <c r="F50" s="1"/>
      <c r="G50" s="31"/>
      <c r="H50" s="1"/>
      <c r="I50" s="1"/>
    </row>
    <row r="51" spans="1:9" ht="21" x14ac:dyDescent="0.4">
      <c r="A51" s="34" t="s">
        <v>75</v>
      </c>
      <c r="B51" s="35"/>
      <c r="C51" s="36"/>
      <c r="D51" s="35"/>
      <c r="E51" s="39">
        <v>48765</v>
      </c>
      <c r="F51" s="1"/>
      <c r="G51" s="1"/>
      <c r="H51" s="1"/>
      <c r="I51" s="1"/>
    </row>
    <row r="52" spans="1:9" x14ac:dyDescent="0.3">
      <c r="F52" s="1"/>
      <c r="G52" s="1"/>
      <c r="H52" s="1"/>
      <c r="I52" s="1"/>
    </row>
    <row r="53" spans="1:9" ht="18" x14ac:dyDescent="0.35">
      <c r="A53" s="23" t="s">
        <v>73</v>
      </c>
      <c r="B53" s="42" t="s">
        <v>76</v>
      </c>
      <c r="C53" s="38"/>
      <c r="F53" s="1"/>
    </row>
    <row r="54" spans="1:9" x14ac:dyDescent="0.3">
      <c r="F54" s="1"/>
    </row>
    <row r="55" spans="1:9" x14ac:dyDescent="0.3">
      <c r="F55" s="1"/>
    </row>
  </sheetData>
  <mergeCells count="3">
    <mergeCell ref="A1:G1"/>
    <mergeCell ref="A2:G2"/>
    <mergeCell ref="A3:G3"/>
  </mergeCells>
  <pageMargins left="0.53" right="0.3" top="0.31" bottom="0.28000000000000003" header="0.3" footer="0.3"/>
  <pageSetup paperSize="9" scale="83" fitToHeight="0" orientation="portrait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B42D-31F1-4C4C-99EB-1191CEA36034}">
  <sheetPr>
    <pageSetUpPr fitToPage="1"/>
  </sheetPr>
  <dimension ref="A1:I25"/>
  <sheetViews>
    <sheetView zoomScaleNormal="100" zoomScaleSheetLayoutView="90" workbookViewId="0">
      <selection activeCell="L5" sqref="L5"/>
    </sheetView>
  </sheetViews>
  <sheetFormatPr defaultRowHeight="14.4" x14ac:dyDescent="0.3"/>
  <cols>
    <col min="1" max="1" width="4.44140625" bestFit="1" customWidth="1"/>
    <col min="2" max="2" width="30.33203125" customWidth="1"/>
    <col min="3" max="3" width="21.33203125" customWidth="1"/>
    <col min="4" max="4" width="13.88671875" customWidth="1"/>
    <col min="5" max="5" width="17.6640625" customWidth="1"/>
    <col min="6" max="6" width="12.33203125" customWidth="1"/>
    <col min="7" max="7" width="11.77734375" customWidth="1"/>
  </cols>
  <sheetData>
    <row r="1" spans="1:9" ht="19.95" customHeight="1" x14ac:dyDescent="0.3">
      <c r="A1" s="43" t="s">
        <v>13</v>
      </c>
      <c r="B1" s="43"/>
      <c r="C1" s="43"/>
      <c r="D1" s="43"/>
      <c r="E1" s="43"/>
      <c r="F1" s="43"/>
      <c r="G1" s="43"/>
      <c r="H1" s="1"/>
      <c r="I1" s="1"/>
    </row>
    <row r="2" spans="1:9" ht="19.95" customHeight="1" x14ac:dyDescent="0.3">
      <c r="A2" s="43" t="s">
        <v>14</v>
      </c>
      <c r="B2" s="43"/>
      <c r="C2" s="43"/>
      <c r="D2" s="43"/>
      <c r="E2" s="43"/>
      <c r="F2" s="43"/>
      <c r="G2" s="43"/>
      <c r="H2" s="1"/>
      <c r="I2" s="1"/>
    </row>
    <row r="3" spans="1:9" ht="19.95" customHeight="1" x14ac:dyDescent="0.35">
      <c r="A3" s="44" t="s">
        <v>70</v>
      </c>
      <c r="B3" s="44"/>
      <c r="C3" s="44"/>
      <c r="D3" s="44"/>
      <c r="E3" s="44"/>
      <c r="F3" s="44"/>
      <c r="G3" s="44"/>
      <c r="H3" s="1"/>
      <c r="I3" s="1"/>
    </row>
    <row r="4" spans="1:9" ht="19.95" customHeight="1" x14ac:dyDescent="0.35">
      <c r="A4" s="3"/>
      <c r="B4" s="3"/>
      <c r="C4" s="4"/>
      <c r="D4" s="3"/>
      <c r="E4" s="3"/>
      <c r="F4" s="1"/>
      <c r="G4" s="1"/>
      <c r="H4" s="1"/>
      <c r="I4" s="1"/>
    </row>
    <row r="5" spans="1:9" ht="19.95" customHeight="1" x14ac:dyDescent="0.35">
      <c r="A5" s="40" t="s">
        <v>8</v>
      </c>
      <c r="B5" s="40" t="s">
        <v>9</v>
      </c>
      <c r="C5" s="40" t="s">
        <v>10</v>
      </c>
      <c r="D5" s="40" t="s">
        <v>20</v>
      </c>
      <c r="E5" s="40" t="s">
        <v>11</v>
      </c>
      <c r="F5" s="40" t="s">
        <v>59</v>
      </c>
      <c r="G5" s="40" t="s">
        <v>66</v>
      </c>
      <c r="H5" s="1"/>
      <c r="I5" s="1"/>
    </row>
    <row r="6" spans="1:9" ht="22.05" customHeight="1" x14ac:dyDescent="0.35">
      <c r="A6" s="6">
        <v>1</v>
      </c>
      <c r="B6" s="6" t="s">
        <v>15</v>
      </c>
      <c r="C6" s="6" t="s">
        <v>50</v>
      </c>
      <c r="D6" s="6">
        <v>11223728</v>
      </c>
      <c r="E6" s="6">
        <v>1711435748</v>
      </c>
      <c r="F6" s="14"/>
      <c r="G6" s="16"/>
      <c r="H6" s="1"/>
      <c r="I6" s="1"/>
    </row>
    <row r="7" spans="1:9" ht="22.05" customHeight="1" x14ac:dyDescent="0.35">
      <c r="A7" s="8">
        <v>2</v>
      </c>
      <c r="B7" s="6" t="s">
        <v>35</v>
      </c>
      <c r="C7" s="6" t="s">
        <v>37</v>
      </c>
      <c r="D7" s="6">
        <v>11392949</v>
      </c>
      <c r="E7" s="6">
        <v>1718262628</v>
      </c>
      <c r="F7" s="14"/>
      <c r="G7" s="16"/>
      <c r="H7" s="1"/>
      <c r="I7" s="1"/>
    </row>
    <row r="8" spans="1:9" ht="22.05" customHeight="1" x14ac:dyDescent="0.35">
      <c r="A8" s="6">
        <v>3</v>
      </c>
      <c r="B8" s="6" t="s">
        <v>40</v>
      </c>
      <c r="C8" s="6" t="s">
        <v>39</v>
      </c>
      <c r="D8" s="6">
        <v>6714085</v>
      </c>
      <c r="E8" s="6">
        <v>1919465266</v>
      </c>
      <c r="F8" s="14"/>
      <c r="G8" s="16"/>
      <c r="H8" s="1"/>
      <c r="I8" s="1"/>
    </row>
    <row r="9" spans="1:9" ht="22.05" customHeight="1" x14ac:dyDescent="0.35">
      <c r="A9" s="8">
        <v>4</v>
      </c>
      <c r="B9" s="9" t="s">
        <v>43</v>
      </c>
      <c r="C9" s="6" t="s">
        <v>7</v>
      </c>
      <c r="D9" s="6">
        <v>12546504</v>
      </c>
      <c r="E9" s="6">
        <v>1714477778</v>
      </c>
      <c r="F9" s="14"/>
      <c r="G9" s="16"/>
      <c r="H9" s="1"/>
      <c r="I9" s="1"/>
    </row>
    <row r="10" spans="1:9" ht="22.05" customHeight="1" x14ac:dyDescent="0.35">
      <c r="A10" s="6">
        <v>5</v>
      </c>
      <c r="B10" s="9" t="s">
        <v>44</v>
      </c>
      <c r="C10" s="6" t="s">
        <v>7</v>
      </c>
      <c r="D10" s="6">
        <v>12541777</v>
      </c>
      <c r="E10" s="6">
        <v>1830578763</v>
      </c>
      <c r="F10" s="14"/>
      <c r="G10" s="16"/>
      <c r="H10" s="1"/>
      <c r="I10" s="1"/>
    </row>
    <row r="11" spans="1:9" ht="22.05" customHeight="1" x14ac:dyDescent="0.35">
      <c r="A11" s="8">
        <v>6</v>
      </c>
      <c r="B11" s="9" t="s">
        <v>42</v>
      </c>
      <c r="C11" s="6" t="s">
        <v>7</v>
      </c>
      <c r="D11" s="6">
        <v>12156201</v>
      </c>
      <c r="E11" s="6">
        <v>1797027810</v>
      </c>
      <c r="F11" s="14"/>
      <c r="G11" s="16"/>
      <c r="H11" s="1"/>
      <c r="I11" s="1"/>
    </row>
    <row r="12" spans="1:9" ht="22.05" customHeight="1" x14ac:dyDescent="0.35">
      <c r="A12" s="6">
        <v>7</v>
      </c>
      <c r="B12" s="9" t="s">
        <v>41</v>
      </c>
      <c r="C12" s="6" t="s">
        <v>7</v>
      </c>
      <c r="D12" s="6">
        <v>11673911</v>
      </c>
      <c r="E12" s="6">
        <v>1733501944</v>
      </c>
      <c r="F12" s="14"/>
      <c r="G12" s="16"/>
      <c r="H12" s="1"/>
      <c r="I12" s="1"/>
    </row>
    <row r="13" spans="1:9" ht="22.05" customHeight="1" x14ac:dyDescent="0.4">
      <c r="A13" s="20" t="s">
        <v>69</v>
      </c>
      <c r="B13" s="21"/>
      <c r="C13" s="21"/>
      <c r="D13" s="21"/>
      <c r="E13" s="22">
        <f>SUM(F6:F12)</f>
        <v>0</v>
      </c>
      <c r="F13" s="16"/>
      <c r="G13" s="16"/>
      <c r="H13" s="1"/>
    </row>
    <row r="14" spans="1:9" ht="22.05" customHeight="1" x14ac:dyDescent="0.4">
      <c r="A14" s="2"/>
      <c r="B14" s="2"/>
      <c r="C14" s="2"/>
      <c r="D14" s="2"/>
      <c r="E14" s="1"/>
      <c r="F14" s="1"/>
      <c r="G14" s="1"/>
      <c r="H14" s="1"/>
    </row>
    <row r="15" spans="1:9" ht="22.05" customHeight="1" x14ac:dyDescent="0.4">
      <c r="A15" s="2"/>
      <c r="B15" s="2"/>
      <c r="C15" s="5"/>
      <c r="D15" s="2"/>
      <c r="E15" s="2"/>
      <c r="F15" s="1"/>
      <c r="G15" s="1"/>
      <c r="H15" s="1"/>
      <c r="I15" s="1"/>
    </row>
    <row r="16" spans="1:9" ht="22.05" customHeight="1" x14ac:dyDescent="0.4">
      <c r="A16" s="2"/>
      <c r="B16" s="1"/>
      <c r="C16" s="1"/>
      <c r="D16" s="1"/>
      <c r="E16" s="1"/>
      <c r="F16" s="1"/>
      <c r="G16" s="1"/>
      <c r="H16" s="1"/>
      <c r="I16" s="1"/>
    </row>
    <row r="17" spans="1:9" ht="22.05" customHeight="1" x14ac:dyDescent="0.3">
      <c r="A17" s="1"/>
      <c r="B17" s="1"/>
      <c r="C17" s="1"/>
      <c r="D17" s="1"/>
      <c r="E17" s="1"/>
      <c r="F17" s="1"/>
      <c r="G17" s="1"/>
      <c r="H17" s="1"/>
    </row>
    <row r="18" spans="1:9" ht="22.05" customHeight="1" x14ac:dyDescent="0.3">
      <c r="A18" s="1"/>
      <c r="F18" s="1"/>
      <c r="G18" s="1"/>
      <c r="H18" s="1"/>
    </row>
    <row r="19" spans="1:9" x14ac:dyDescent="0.3">
      <c r="F19" s="1"/>
      <c r="G19" s="1"/>
      <c r="H19" s="1"/>
      <c r="I19" s="1"/>
    </row>
    <row r="20" spans="1:9" x14ac:dyDescent="0.3">
      <c r="F20" s="1"/>
      <c r="G20" s="1"/>
      <c r="H20" s="1"/>
      <c r="I20" s="1"/>
    </row>
    <row r="21" spans="1:9" x14ac:dyDescent="0.3">
      <c r="F21" s="1"/>
      <c r="G21" s="1"/>
      <c r="H21" s="1"/>
      <c r="I21" s="1"/>
    </row>
    <row r="22" spans="1:9" x14ac:dyDescent="0.3">
      <c r="F22" s="1"/>
      <c r="H22" s="1"/>
      <c r="I22" s="1"/>
    </row>
    <row r="23" spans="1:9" x14ac:dyDescent="0.3">
      <c r="F23" s="1"/>
      <c r="H23" s="1"/>
      <c r="I23" s="1"/>
    </row>
    <row r="24" spans="1:9" x14ac:dyDescent="0.3">
      <c r="F24" s="1"/>
    </row>
    <row r="25" spans="1:9" x14ac:dyDescent="0.3">
      <c r="F25" s="1"/>
    </row>
  </sheetData>
  <mergeCells count="3">
    <mergeCell ref="A1:G1"/>
    <mergeCell ref="A2:G2"/>
    <mergeCell ref="A3:G3"/>
  </mergeCells>
  <pageMargins left="0.53" right="0.3" top="0.31" bottom="0.28000000000000003" header="0.3" footer="0.3"/>
  <pageSetup paperSize="9" scale="83" fitToHeight="0" orientation="portrait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SAD Collaction</vt:lpstr>
      <vt:lpstr>SAD Collaction  DUE</vt:lpstr>
      <vt:lpstr>'SAD Collaction'!Print_Area</vt:lpstr>
      <vt:lpstr>'SAD Collaction  DUE'!Print_Area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2026-08-20T06:25:17Z</dcterms:modified>
</cp:coreProperties>
</file>