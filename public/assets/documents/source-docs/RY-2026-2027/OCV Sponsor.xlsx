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f79c65c519013e/Desktop/"/>
    </mc:Choice>
  </mc:AlternateContent>
  <xr:revisionPtr revIDLastSave="20" documentId="14_{4DE7C282-A618-4C43-9CBB-7C4001A5D5AD}" xr6:coauthVersionLast="47" xr6:coauthVersionMax="47" xr10:uidLastSave="{09BAC3C6-4DFF-4CA8-A1FA-B19CD99003C0}"/>
  <bookViews>
    <workbookView xWindow="-108" yWindow="-108" windowWidth="23256" windowHeight="12456" xr2:uid="{76E8F456-5EA5-4C1C-BBCC-9F72AAE39B5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20" i="2"/>
  <c r="F27" i="2" s="1"/>
  <c r="E27" i="2"/>
  <c r="E30" i="2" l="1"/>
</calcChain>
</file>

<file path=xl/sharedStrings.xml><?xml version="1.0" encoding="utf-8"?>
<sst xmlns="http://schemas.openxmlformats.org/spreadsheetml/2006/main" count="53" uniqueCount="46">
  <si>
    <t>OCV Program – Contribution List | 31 July 2026</t>
  </si>
  <si>
    <t>Sponsors :</t>
  </si>
  <si>
    <t>Md. Mizanur Rahman</t>
  </si>
  <si>
    <t>Name</t>
  </si>
  <si>
    <t>Md. Abdullah</t>
  </si>
  <si>
    <t>-</t>
  </si>
  <si>
    <t>Shah Arifur Rahman</t>
  </si>
  <si>
    <t>Rotary Club of Shantinagar Dhaka</t>
  </si>
  <si>
    <t>SL</t>
  </si>
  <si>
    <t>Position</t>
  </si>
  <si>
    <t>Contact No</t>
  </si>
  <si>
    <t>President</t>
  </si>
  <si>
    <t>Md. Shamim Rahman PHF</t>
  </si>
  <si>
    <t>Secretary</t>
  </si>
  <si>
    <t>Md Shariful Islam Shovo</t>
  </si>
  <si>
    <t>Treasurer</t>
  </si>
  <si>
    <t>Md Mominul Islam PHF</t>
  </si>
  <si>
    <t>IPP</t>
  </si>
  <si>
    <t>Ujjal Kanti Dey PHF</t>
  </si>
  <si>
    <t xml:space="preserve">President, Elect </t>
  </si>
  <si>
    <t>Fahima Nazneen Rahman PHF RFSM</t>
  </si>
  <si>
    <t xml:space="preserve">Vice President </t>
  </si>
  <si>
    <t>Nabegah Dordana  PHF</t>
  </si>
  <si>
    <t>Director (Service Project)</t>
  </si>
  <si>
    <t>Md. Abdul Halim Chowdhury MPHF</t>
  </si>
  <si>
    <t>Club Facilitator</t>
  </si>
  <si>
    <t>Md. Nasir Uddin  Pramanik RFSM</t>
  </si>
  <si>
    <t>Director (Membership)</t>
  </si>
  <si>
    <t>Mohammad Kamrul Hasan, MPHF</t>
  </si>
  <si>
    <t>Director (Admin.)</t>
  </si>
  <si>
    <t>Sinthia Shahariar, PHF</t>
  </si>
  <si>
    <t>Director (Publice Image)</t>
  </si>
  <si>
    <t>Md. Abdur Rahim</t>
  </si>
  <si>
    <t>Director (Youth Service)</t>
  </si>
  <si>
    <t>Md. Mofidul Islam Talukder</t>
  </si>
  <si>
    <t>Assistant Treasurer</t>
  </si>
  <si>
    <t>Md. Moniruzzaman, Babu</t>
  </si>
  <si>
    <t>Dr. Dilruba Raquib</t>
  </si>
  <si>
    <t xml:space="preserve">Member </t>
  </si>
  <si>
    <t>Member</t>
  </si>
  <si>
    <t>Mohammad Saiful Islam</t>
  </si>
  <si>
    <t>Md. Zakir Hossain</t>
  </si>
  <si>
    <t>TOTAL AMOUNT :</t>
  </si>
  <si>
    <t>Mrs. Shariful I. Shovo</t>
  </si>
  <si>
    <t>Contribution</t>
  </si>
  <si>
    <t>Fayeem Anjum Ibne Farid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</si>
</sst>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ew"/>
    </font>
    <font>
      <b/>
      <sz val="14"/>
      <color rgb="FF7449DF"/>
      <name val="Calibri Light"/>
      <family val="1"/>
      <scheme val="major"/>
    </font>
    <font>
      <b/>
      <sz val="16"/>
      <color rgb="FF0070C0"/>
      <name val="Calibri Light"/>
      <family val="1"/>
      <scheme val="major"/>
    </font>
    <font>
      <b/>
      <u/>
      <sz val="16"/>
      <color rgb="FF7030A0"/>
      <name val="Calibri Light"/>
      <family val="1"/>
      <scheme val="major"/>
    </font>
    <font>
      <b/>
      <sz val="16"/>
      <color rgb="FF7030A0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New"/>
    </font>
    <font>
      <b/>
      <sz val="14"/>
      <color rgb="FF00B050"/>
      <name val="Calibri"/>
      <family val="2"/>
      <scheme val="minor"/>
    </font>
    <font>
      <b/>
      <sz val="14"/>
      <color rgb="FF7449DF"/>
      <name val="Calibri Light"/>
      <family val="2"/>
      <scheme val="major"/>
    </font>
    <font>
      <b/>
      <sz val="16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54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0" applyNumberForma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3" borderId="1" xfId="0" applyFont="1" applyFill="1" applyBorder="1" applyAlignment="1">
      <alignment horizontal="left"/>
    </xf>
    <xf numFmtId="0" fontId="7" fillId="0" borderId="2" xfId="0" applyFont="1" applyBorder="1"/>
    <xf numFmtId="0" fontId="7" fillId="2" borderId="2" xfId="0" applyFont="1" applyFill="1" applyBorder="1"/>
    <xf numFmtId="0" fontId="7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wrapText="1"/>
    </xf>
    <xf numFmtId="0" fontId="7" fillId="0" borderId="3" xfId="0" applyFont="1" applyBorder="1"/>
    <xf numFmtId="0" fontId="10" fillId="0" borderId="2" xfId="0" applyFont="1" applyBorder="1"/>
    <xf numFmtId="0" fontId="11" fillId="2" borderId="1" xfId="0" applyFont="1" applyFill="1" applyBorder="1"/>
    <xf numFmtId="0" fontId="12" fillId="2" borderId="4" xfId="0" applyFont="1" applyFill="1" applyBorder="1"/>
    <xf numFmtId="0" fontId="11" fillId="2" borderId="4" xfId="0" applyFont="1" applyFill="1" applyBorder="1"/>
    <xf numFmtId="0" fontId="6" fillId="3" borderId="2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9" fillId="0" borderId="2" xfId="1" applyNumberFormat="1" applyFont="1" applyFill="1" applyBorder="1"/>
    <xf numFmtId="0" fontId="8" fillId="0" borderId="2" xfId="0" applyFont="1" applyBorder="1" applyAlignment="1">
      <alignment horizontal="center"/>
    </xf>
    <xf numFmtId="164" fontId="14" fillId="2" borderId="2" xfId="1" applyNumberFormat="1" applyFont="1" applyFill="1" applyBorder="1"/>
    <xf numFmtId="164" fontId="16" fillId="2" borderId="2" xfId="1" applyNumberFormat="1" applyFont="1" applyFill="1" applyBorder="1"/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85356</xdr:rowOff>
    </xdr:to>
    <xdr:pic>
      <xdr:nvPicPr>
        <xdr:cNvPr id="2" name="Picture 1" descr="C:\Users\Tapan\Downloads\Compressed\EN\color\T1314EN.gif">
          <a:extLst>
            <a:ext uri="{FF2B5EF4-FFF2-40B4-BE49-F238E27FC236}">
              <a16:creationId xmlns:a16="http://schemas.microsoft.com/office/drawing/2014/main" id="{B2E5B099-D62A-45FF-8A9A-2F2322F73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26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59110</xdr:rowOff>
    </xdr:to>
    <xdr:pic>
      <xdr:nvPicPr>
        <xdr:cNvPr id="3" name="Picture 1" descr="C:\Users\Tapan\Downloads\Compressed\EN\color\T1314EN.gif">
          <a:extLst>
            <a:ext uri="{FF2B5EF4-FFF2-40B4-BE49-F238E27FC236}">
              <a16:creationId xmlns:a16="http://schemas.microsoft.com/office/drawing/2014/main" id="{B4392AA2-6A12-4D8A-8D65-A5C6D6C9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001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0</xdr:row>
      <xdr:rowOff>160020</xdr:rowOff>
    </xdr:from>
    <xdr:to>
      <xdr:col>1</xdr:col>
      <xdr:colOff>600277</xdr:colOff>
      <xdr:row>3</xdr:row>
      <xdr:rowOff>75795</xdr:rowOff>
    </xdr:to>
    <xdr:pic>
      <xdr:nvPicPr>
        <xdr:cNvPr id="4" name="il_fi" descr="http://fullertonrotary.org/images/RotaryWheel.jpg">
          <a:extLst>
            <a:ext uri="{FF2B5EF4-FFF2-40B4-BE49-F238E27FC236}">
              <a16:creationId xmlns:a16="http://schemas.microsoft.com/office/drawing/2014/main" id="{9B5694FF-7FC5-4B90-A0C2-019A34C3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66700" y="160020"/>
          <a:ext cx="600277" cy="5939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108216</xdr:rowOff>
    </xdr:to>
    <xdr:pic>
      <xdr:nvPicPr>
        <xdr:cNvPr id="5" name="Picture 1" descr="C:\Users\Tapan\Downloads\Compressed\EN\color\T1314EN.gif">
          <a:extLst>
            <a:ext uri="{FF2B5EF4-FFF2-40B4-BE49-F238E27FC236}">
              <a16:creationId xmlns:a16="http://schemas.microsoft.com/office/drawing/2014/main" id="{DB472104-5CDC-4503-8392-037F3D1D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492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8466</xdr:colOff>
      <xdr:row>2</xdr:row>
      <xdr:rowOff>118533</xdr:rowOff>
    </xdr:from>
    <xdr:to>
      <xdr:col>3</xdr:col>
      <xdr:colOff>8466</xdr:colOff>
      <xdr:row>5</xdr:row>
      <xdr:rowOff>223363</xdr:rowOff>
    </xdr:to>
    <xdr:pic>
      <xdr:nvPicPr>
        <xdr:cNvPr id="6" name="Picture 1" descr="C:\Users\Tapan\Downloads\Compressed\EN\color\T1314EN.gif">
          <a:extLst>
            <a:ext uri="{FF2B5EF4-FFF2-40B4-BE49-F238E27FC236}">
              <a16:creationId xmlns:a16="http://schemas.microsoft.com/office/drawing/2014/main" id="{C6435F51-098F-425A-A544-65A2A4443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9126" y="621453"/>
          <a:ext cx="0" cy="622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126439</xdr:rowOff>
    </xdr:to>
    <xdr:pic>
      <xdr:nvPicPr>
        <xdr:cNvPr id="7" name="Picture 6" descr="C:\Users\Tapan\Downloads\Compressed\EN\color\T1314EN.gif">
          <a:extLst>
            <a:ext uri="{FF2B5EF4-FFF2-40B4-BE49-F238E27FC236}">
              <a16:creationId xmlns:a16="http://schemas.microsoft.com/office/drawing/2014/main" id="{C8A20911-4034-4B7E-944C-C78A67683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67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95959</xdr:rowOff>
    </xdr:to>
    <xdr:pic>
      <xdr:nvPicPr>
        <xdr:cNvPr id="8" name="Picture 1" descr="C:\Users\Tapan\Downloads\Compressed\EN\color\T1314EN.gif">
          <a:extLst>
            <a:ext uri="{FF2B5EF4-FFF2-40B4-BE49-F238E27FC236}">
              <a16:creationId xmlns:a16="http://schemas.microsoft.com/office/drawing/2014/main" id="{EAF98271-2882-468F-99CC-7006D6D3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369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150011</xdr:rowOff>
    </xdr:to>
    <xdr:pic>
      <xdr:nvPicPr>
        <xdr:cNvPr id="9" name="Picture 1" descr="C:\Users\Tapan\Downloads\Compressed\EN\color\T1314EN.gif">
          <a:extLst>
            <a:ext uri="{FF2B5EF4-FFF2-40B4-BE49-F238E27FC236}">
              <a16:creationId xmlns:a16="http://schemas.microsoft.com/office/drawing/2014/main" id="{03ACD07B-178A-47B2-9BAB-8D7C699D5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910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0</xdr:colOff>
      <xdr:row>3</xdr:row>
      <xdr:rowOff>118819</xdr:rowOff>
    </xdr:to>
    <xdr:pic>
      <xdr:nvPicPr>
        <xdr:cNvPr id="10" name="Picture 1" descr="C:\Users\Tapan\Downloads\Compressed\EN\color\T1314EN.gif">
          <a:extLst>
            <a:ext uri="{FF2B5EF4-FFF2-40B4-BE49-F238E27FC236}">
              <a16:creationId xmlns:a16="http://schemas.microsoft.com/office/drawing/2014/main" id="{490D3881-7792-4E4B-AC6B-36EC8E05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280660" y="0"/>
          <a:ext cx="0" cy="6598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9697-E65C-40C0-AAC8-52F2A7A92ACC}">
  <dimension ref="A1:I30"/>
  <sheetViews>
    <sheetView tabSelected="1" topLeftCell="A7" workbookViewId="0">
      <selection activeCell="L13" sqref="L13"/>
    </sheetView>
  </sheetViews>
  <sheetFormatPr defaultRowHeight="14.4"/>
  <cols>
    <col min="1" max="1" width="3.88671875" bestFit="1" customWidth="1"/>
    <col min="2" max="2" width="30.109375" customWidth="1"/>
    <col min="3" max="3" width="17.88671875" customWidth="1"/>
    <col min="4" max="4" width="15.109375" bestFit="1" customWidth="1"/>
    <col min="5" max="5" width="17.6640625" customWidth="1"/>
    <col min="6" max="6" width="14.109375" bestFit="1" customWidth="1"/>
    <col min="8" max="8" width="15.88671875" customWidth="1"/>
  </cols>
  <sheetData>
    <row r="1" spans="1:9" ht="18" customHeight="1">
      <c r="A1" s="25"/>
      <c r="B1" s="25"/>
      <c r="C1" s="25"/>
      <c r="D1" s="25"/>
      <c r="E1" s="25"/>
      <c r="F1" s="25"/>
    </row>
    <row r="2" spans="1:9" ht="18" customHeight="1">
      <c r="A2" s="26" t="s">
        <v>7</v>
      </c>
      <c r="B2" s="26"/>
      <c r="C2" s="26"/>
      <c r="D2" s="26"/>
      <c r="E2" s="26"/>
      <c r="F2" s="26"/>
    </row>
    <row r="3" spans="1:9" ht="17.399999999999999">
      <c r="A3" s="27" t="s">
        <v>0</v>
      </c>
      <c r="B3" s="27"/>
      <c r="C3" s="27"/>
      <c r="D3" s="27"/>
      <c r="E3" s="27"/>
      <c r="F3" s="27"/>
    </row>
    <row r="4" spans="1:9" ht="21" customHeight="1">
      <c r="A4" s="4"/>
      <c r="B4" s="4"/>
      <c r="C4" s="5"/>
      <c r="D4" s="4"/>
      <c r="E4" s="6"/>
      <c r="F4" s="6"/>
    </row>
    <row r="5" spans="1:9" ht="22.8" customHeight="1">
      <c r="A5" s="7" t="s">
        <v>8</v>
      </c>
      <c r="B5" s="7" t="s">
        <v>3</v>
      </c>
      <c r="C5" s="7" t="s">
        <v>9</v>
      </c>
      <c r="D5" s="7" t="s">
        <v>10</v>
      </c>
      <c r="E5" s="19" t="s">
        <v>44</v>
      </c>
      <c r="F5" s="18" t="s">
        <v>1</v>
      </c>
      <c r="G5" s="20"/>
    </row>
    <row r="6" spans="1:9" ht="18" customHeight="1">
      <c r="A6" s="8">
        <v>1</v>
      </c>
      <c r="B6" s="8" t="s">
        <v>6</v>
      </c>
      <c r="C6" s="8" t="s">
        <v>11</v>
      </c>
      <c r="D6" s="8">
        <v>1711568209</v>
      </c>
      <c r="E6" s="22">
        <v>3000</v>
      </c>
      <c r="F6" s="21">
        <v>40000</v>
      </c>
      <c r="H6" s="1"/>
      <c r="I6" s="2"/>
    </row>
    <row r="7" spans="1:9" ht="18" customHeight="1">
      <c r="A7" s="9">
        <v>2</v>
      </c>
      <c r="B7" s="8" t="s">
        <v>12</v>
      </c>
      <c r="C7" s="8" t="s">
        <v>13</v>
      </c>
      <c r="D7" s="8">
        <v>1674888898</v>
      </c>
      <c r="E7" s="22">
        <v>3000</v>
      </c>
      <c r="F7" s="21">
        <v>30000</v>
      </c>
      <c r="H7" s="1"/>
      <c r="I7" s="2"/>
    </row>
    <row r="8" spans="1:9" ht="18" customHeight="1">
      <c r="A8" s="8">
        <v>3</v>
      </c>
      <c r="B8" s="8" t="s">
        <v>14</v>
      </c>
      <c r="C8" s="8" t="s">
        <v>15</v>
      </c>
      <c r="D8" s="8">
        <v>1767720716</v>
      </c>
      <c r="E8" s="22">
        <v>3000</v>
      </c>
      <c r="F8" s="21">
        <v>5000</v>
      </c>
      <c r="H8" s="1"/>
      <c r="I8" s="2"/>
    </row>
    <row r="9" spans="1:9" ht="18" customHeight="1">
      <c r="A9" s="9">
        <v>4</v>
      </c>
      <c r="B9" s="8" t="s">
        <v>16</v>
      </c>
      <c r="C9" s="8" t="s">
        <v>17</v>
      </c>
      <c r="D9" s="8">
        <v>1711046889</v>
      </c>
      <c r="E9" s="22">
        <v>3000</v>
      </c>
      <c r="F9" s="21"/>
      <c r="H9" s="1"/>
      <c r="I9" s="2"/>
    </row>
    <row r="10" spans="1:9" ht="18" customHeight="1">
      <c r="A10" s="8">
        <v>5</v>
      </c>
      <c r="B10" s="10" t="s">
        <v>20</v>
      </c>
      <c r="C10" s="8" t="s">
        <v>21</v>
      </c>
      <c r="D10" s="8">
        <v>1715004199</v>
      </c>
      <c r="E10" s="22">
        <v>3000</v>
      </c>
      <c r="F10" s="21">
        <v>5000</v>
      </c>
      <c r="H10" s="1"/>
      <c r="I10" s="2"/>
    </row>
    <row r="11" spans="1:9" ht="18" customHeight="1">
      <c r="A11" s="9">
        <v>6</v>
      </c>
      <c r="B11" s="8" t="s">
        <v>22</v>
      </c>
      <c r="C11" s="8" t="s">
        <v>23</v>
      </c>
      <c r="D11" s="8">
        <v>1819405000</v>
      </c>
      <c r="E11" s="22">
        <v>3000</v>
      </c>
      <c r="F11" s="21">
        <f>5000+2500</f>
        <v>7500</v>
      </c>
      <c r="H11" s="1"/>
      <c r="I11" s="2"/>
    </row>
    <row r="12" spans="1:9" ht="18" customHeight="1">
      <c r="A12" s="8">
        <v>7</v>
      </c>
      <c r="B12" s="11" t="s">
        <v>24</v>
      </c>
      <c r="C12" s="8" t="s">
        <v>25</v>
      </c>
      <c r="D12" s="8">
        <v>1711612780</v>
      </c>
      <c r="E12" s="22">
        <v>3000</v>
      </c>
      <c r="F12" s="21"/>
      <c r="H12" s="1"/>
      <c r="I12" s="2"/>
    </row>
    <row r="13" spans="1:9" ht="18" customHeight="1">
      <c r="A13" s="9">
        <v>8</v>
      </c>
      <c r="B13" s="11" t="s">
        <v>26</v>
      </c>
      <c r="C13" s="12" t="s">
        <v>27</v>
      </c>
      <c r="D13" s="8">
        <v>1915398213</v>
      </c>
      <c r="E13" s="22" t="s">
        <v>5</v>
      </c>
      <c r="F13" s="21">
        <v>5000</v>
      </c>
      <c r="H13" s="1"/>
      <c r="I13" s="2"/>
    </row>
    <row r="14" spans="1:9" ht="18" customHeight="1">
      <c r="A14" s="8">
        <v>9</v>
      </c>
      <c r="B14" s="8" t="s">
        <v>30</v>
      </c>
      <c r="C14" s="12" t="s">
        <v>31</v>
      </c>
      <c r="D14" s="8">
        <v>1962400391</v>
      </c>
      <c r="E14" s="22">
        <v>3000</v>
      </c>
      <c r="F14" s="21"/>
      <c r="H14" s="1"/>
      <c r="I14" s="2"/>
    </row>
    <row r="15" spans="1:9" ht="18" customHeight="1">
      <c r="A15" s="9">
        <v>10</v>
      </c>
      <c r="B15" s="8" t="s">
        <v>32</v>
      </c>
      <c r="C15" s="12" t="s">
        <v>33</v>
      </c>
      <c r="D15" s="8">
        <v>1718232918</v>
      </c>
      <c r="E15" s="22">
        <v>3000</v>
      </c>
      <c r="F15" s="21">
        <v>10000</v>
      </c>
      <c r="H15" s="1"/>
      <c r="I15" s="2"/>
    </row>
    <row r="16" spans="1:9" ht="18" customHeight="1">
      <c r="A16" s="8">
        <v>11</v>
      </c>
      <c r="B16" s="8" t="s">
        <v>34</v>
      </c>
      <c r="C16" s="8" t="s">
        <v>35</v>
      </c>
      <c r="D16" s="8">
        <v>1711238178</v>
      </c>
      <c r="E16" s="22">
        <v>3000</v>
      </c>
      <c r="F16" s="21"/>
      <c r="H16" s="1"/>
      <c r="I16" s="2"/>
    </row>
    <row r="17" spans="1:9" ht="18" customHeight="1">
      <c r="A17" s="9">
        <v>12</v>
      </c>
      <c r="B17" s="8" t="s">
        <v>36</v>
      </c>
      <c r="C17" s="8" t="s">
        <v>38</v>
      </c>
      <c r="D17" s="8">
        <v>1919465266</v>
      </c>
      <c r="E17" s="22">
        <v>3000</v>
      </c>
      <c r="F17" s="21">
        <v>5000</v>
      </c>
      <c r="H17" s="1"/>
      <c r="I17" s="2"/>
    </row>
    <row r="18" spans="1:9" ht="18" customHeight="1">
      <c r="A18" s="8">
        <v>13</v>
      </c>
      <c r="B18" s="8" t="s">
        <v>37</v>
      </c>
      <c r="C18" s="8" t="s">
        <v>38</v>
      </c>
      <c r="D18" s="13">
        <v>1819225881</v>
      </c>
      <c r="E18" s="22">
        <v>3000</v>
      </c>
      <c r="F18" s="21"/>
    </row>
    <row r="19" spans="1:9" ht="18" customHeight="1">
      <c r="A19" s="8">
        <v>14</v>
      </c>
      <c r="B19" s="8" t="s">
        <v>45</v>
      </c>
      <c r="C19" s="8" t="s">
        <v>38</v>
      </c>
      <c r="D19" s="13">
        <v>1713000222</v>
      </c>
      <c r="E19" s="22">
        <v>3000</v>
      </c>
      <c r="F19" s="21"/>
    </row>
    <row r="20" spans="1:9" ht="18" customHeight="1">
      <c r="A20" s="9">
        <v>14</v>
      </c>
      <c r="B20" s="10" t="s">
        <v>28</v>
      </c>
      <c r="C20" s="12" t="s">
        <v>29</v>
      </c>
      <c r="D20" s="8">
        <v>1711931663</v>
      </c>
      <c r="E20" s="22">
        <v>1000</v>
      </c>
      <c r="F20" s="21">
        <f>4000+5000+5000</f>
        <v>14000</v>
      </c>
    </row>
    <row r="21" spans="1:9" ht="18" customHeight="1">
      <c r="A21" s="8">
        <v>15</v>
      </c>
      <c r="B21" s="8" t="s">
        <v>18</v>
      </c>
      <c r="C21" s="8" t="s">
        <v>19</v>
      </c>
      <c r="D21" s="8">
        <v>1711043170</v>
      </c>
      <c r="E21" s="22">
        <v>1000</v>
      </c>
      <c r="F21" s="21"/>
    </row>
    <row r="22" spans="1:9" ht="18" customHeight="1">
      <c r="A22" s="9">
        <v>16</v>
      </c>
      <c r="B22" s="8" t="s">
        <v>40</v>
      </c>
      <c r="C22" s="8" t="s">
        <v>39</v>
      </c>
      <c r="D22" s="13">
        <v>1819858404</v>
      </c>
      <c r="E22" s="22">
        <v>1000</v>
      </c>
      <c r="F22" s="21"/>
    </row>
    <row r="23" spans="1:9" ht="18" customHeight="1">
      <c r="A23" s="8">
        <v>17</v>
      </c>
      <c r="B23" s="12" t="s">
        <v>2</v>
      </c>
      <c r="C23" s="8" t="s">
        <v>38</v>
      </c>
      <c r="D23" s="8">
        <v>1718304613</v>
      </c>
      <c r="E23" s="22">
        <v>1000</v>
      </c>
      <c r="F23" s="21">
        <v>25000</v>
      </c>
    </row>
    <row r="24" spans="1:9" ht="18" customHeight="1">
      <c r="A24" s="9">
        <v>18</v>
      </c>
      <c r="B24" s="8" t="s">
        <v>41</v>
      </c>
      <c r="C24" s="14" t="s">
        <v>39</v>
      </c>
      <c r="D24" s="14">
        <v>1819306052</v>
      </c>
      <c r="E24" s="22">
        <v>1000</v>
      </c>
      <c r="F24" s="21"/>
    </row>
    <row r="25" spans="1:9" ht="18" customHeight="1">
      <c r="A25" s="8">
        <v>19</v>
      </c>
      <c r="B25" s="8" t="s">
        <v>4</v>
      </c>
      <c r="C25" s="14" t="s">
        <v>39</v>
      </c>
      <c r="D25" s="14">
        <v>1712852915</v>
      </c>
      <c r="E25" s="22">
        <v>1000</v>
      </c>
      <c r="F25" s="21">
        <v>10000</v>
      </c>
    </row>
    <row r="26" spans="1:9" ht="18">
      <c r="A26" s="9">
        <v>20</v>
      </c>
      <c r="B26" s="8" t="s">
        <v>43</v>
      </c>
      <c r="C26" s="14" t="s">
        <v>39</v>
      </c>
      <c r="D26" s="14">
        <v>1965822445</v>
      </c>
      <c r="E26" s="22">
        <v>1000</v>
      </c>
      <c r="F26" s="21"/>
    </row>
    <row r="27" spans="1:9" ht="21">
      <c r="A27" s="15"/>
      <c r="B27" s="16" t="s">
        <v>42</v>
      </c>
      <c r="C27" s="17"/>
      <c r="D27" s="17"/>
      <c r="E27" s="24">
        <f>SUM(E6:E26)</f>
        <v>46000</v>
      </c>
      <c r="F27" s="24">
        <f>SUM(F6:F26)</f>
        <v>156500</v>
      </c>
    </row>
    <row r="30" spans="1:9" ht="18">
      <c r="B30" s="16" t="s">
        <v>42</v>
      </c>
      <c r="E30" s="23">
        <f>E27+F27</f>
        <v>202500</v>
      </c>
      <c r="F30" s="3"/>
    </row>
  </sheetData>
  <mergeCells count="3">
    <mergeCell ref="A1:F1"/>
    <mergeCell ref="A2:F2"/>
    <mergeCell ref="A3:F3"/>
  </mergeCells>
  <pageMargins left="0.7" right="0.7" top="0.28000000000000003" bottom="0.19" header="0.13" footer="0.14000000000000001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Fahima Nazneen Rahman</dc:creator>
  <cp:lastModifiedBy>Fahima Nazneen Rahman</cp:lastModifiedBy>
  <cp:lastPrinted>2026-08-14T15:07:15Z</cp:lastPrinted>
  <dcterms:created xsi:type="dcterms:W3CDTF">2026-08-14T10:13:09Z</dcterms:created>
  <dcterms:modified xsi:type="dcterms:W3CDTF">2026-08-25T12:26:37Z</dcterms:modified>
</cp:coreProperties>
</file>